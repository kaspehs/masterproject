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ists" sheetId="1" state="hidden" r:id="rId1"/>
    <sheet xmlns:r="http://schemas.openxmlformats.org/officeDocument/2006/relationships" name="README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Kapitler" sheetId="4" state="visible" r:id="rId4"/>
    <sheet xmlns:r="http://schemas.openxmlformats.org/officeDocument/2006/relationships" name="Disposisjon" sheetId="5" state="visible" r:id="rId5"/>
    <sheet xmlns:r="http://schemas.openxmlformats.org/officeDocument/2006/relationships" name="Milepæler" sheetId="6" state="visible" r:id="rId6"/>
    <sheet xmlns:r="http://schemas.openxmlformats.org/officeDocument/2006/relationships" name="FigurerTabeller" sheetId="7" state="visible" r:id="rId7"/>
    <sheet xmlns:r="http://schemas.openxmlformats.org/officeDocument/2006/relationships" name="Referanser" sheetId="8" state="visible" r:id="rId8"/>
    <sheet xmlns:r="http://schemas.openxmlformats.org/officeDocument/2006/relationships" name="MøterTilbakemelding" sheetId="9" state="visible" r:id="rId9"/>
    <sheet xmlns:r="http://schemas.openxmlformats.org/officeDocument/2006/relationships" name="Skrivelogg" sheetId="10" state="visible" r:id="rId10"/>
    <sheet xmlns:r="http://schemas.openxmlformats.org/officeDocument/2006/relationships" name="Tidslinj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dd-mmm-yyyy"/>
    <numFmt numFmtId="166" formatCode="0.0"/>
  </numFmts>
  <fonts count="6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sz val="12"/>
    </font>
    <font>
      <color rgb="000000FF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medium">
        <color rgb="001F4E7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165" fontId="4" fillId="0" borderId="0" applyAlignment="1" pivotButton="0" quotePrefix="0" xfId="0">
      <alignment horizontal="left" vertical="top" wrapText="1"/>
    </xf>
    <xf numFmtId="3" fontId="4" fillId="0" borderId="0" applyAlignment="1" pivotButton="0" quotePrefix="0" xfId="0">
      <alignment horizontal="left" vertical="top" wrapText="1"/>
    </xf>
    <xf numFmtId="1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65" fontId="4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166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5"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9DC3E6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blChapters" displayName="tblChapters" ref="A1:P50" headerRowCount="1">
  <autoFilter ref="A1:P50"/>
  <tableColumns count="16">
    <tableColumn id="1" name="ChapterNo"/>
    <tableColumn id="2" name="Kapittel-tittel"/>
    <tableColumn id="3" name="Mål ord"/>
    <tableColumn id="4" name="Plan start"/>
    <tableColumn id="5" name="Plan frist"/>
    <tableColumn id="6" name="Faktisk ferdig"/>
    <tableColumn id="7" name="Mest ferdig (x)"/>
    <tableColumn id="8" name="Ferdig (x)"/>
    <tableColumn id="9" name="Korrekturlest (x)"/>
    <tableColumn id="10" name="Stage (manuell)"/>
    <tableColumn id="11" name="Fremdrift (manuell)"/>
    <tableColumn id="12" name="Fremdrift (detalj)"/>
    <tableColumn id="13" name="Fremdrift (komb.)"/>
    <tableColumn id="14" name="Neste steg"/>
    <tableColumn id="15" name="Prioritet"/>
    <tableColumn id="16" name="Notat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Outline" displayName="tblOutline" ref="A1:X300" headerRowCount="1">
  <autoFilter ref="A1:X300"/>
  <tableColumns count="24">
    <tableColumn id="1" name="ChapterNo"/>
    <tableColumn id="2" name="ID"/>
    <tableColumn id="3" name="Nivå"/>
    <tableColumn id="4" name="Tittel"/>
    <tableColumn id="5" name="Innhold / nøkkelpunkter"/>
    <tableColumn id="6" name="Est. ord"/>
    <tableColumn id="7" name="Faktisk ord"/>
    <tableColumn id="8" name="Plan start"/>
    <tableColumn id="9" name="Plan frist"/>
    <tableColumn id="10" name="Faktisk start"/>
    <tableColumn id="11" name="Faktisk ferdig"/>
    <tableColumn id="12" name="Mest ferdig (x)"/>
    <tableColumn id="13" name="Ferdig (x)"/>
    <tableColumn id="14" name="Korrekturlest (x)"/>
    <tableColumn id="15" name="Stage"/>
    <tableColumn id="16" name="Review (veileder)"/>
    <tableColumn id="17" name="Fremdrift %"/>
    <tableColumn id="18" name="Dager igjen"/>
    <tableColumn id="19" name="Forfalt?"/>
    <tableColumn id="20" name="Prioritet"/>
    <tableColumn id="21" name="Avhengigheter"/>
    <tableColumn id="22" name="Lenke"/>
    <tableColumn id="23" name="Notater"/>
    <tableColumn id="24" name="Sist oppdater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Milestones" displayName="tblMilestones" ref="A1:F200" headerRowCount="1">
  <autoFilter ref="A1:F200"/>
  <tableColumns count="6">
    <tableColumn id="1" name="Milepæl"/>
    <tableColumn id="2" name="Beskrivelse"/>
    <tableColumn id="3" name="Plan dato"/>
    <tableColumn id="4" name="Status"/>
    <tableColumn id="5" name="Avhengigheter"/>
    <tableColumn id="6" name="Notater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Figures" displayName="tblFigures" ref="A1:I250" headerRowCount="1">
  <autoFilter ref="A1:I250"/>
  <tableColumns count="9">
    <tableColumn id="1" name="ID"/>
    <tableColumn id="2" name="Type"/>
    <tableColumn id="3" name="Kapittel"/>
    <tableColumn id="4" name="Tittel/Caption"/>
    <tableColumn id="5" name="Kilde/data"/>
    <tableColumn id="6" name="Status"/>
    <tableColumn id="7" name="Fildestinasjon"/>
    <tableColumn id="8" name="Sitat/tilatelse sjekket (x)"/>
    <tableColumn id="9" name="Notate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Refs" displayName="tblRefs" ref="A1:J300" headerRowCount="1">
  <autoFilter ref="A1:J300"/>
  <tableColumns count="10">
    <tableColumn id="1" name="Citation key"/>
    <tableColumn id="2" name="Tittel"/>
    <tableColumn id="3" name="Forfatter/år"/>
    <tableColumn id="4" name="Tema"/>
    <tableColumn id="5" name="Lest (x)"/>
    <tableColumn id="6" name="Oppsummert (x)"/>
    <tableColumn id="7" name="Sitert i tekst (x)"/>
    <tableColumn id="8" name="BibTeX lagt til (x)"/>
    <tableColumn id="9" name="Lenke/DOI"/>
    <tableColumn id="10" name="Notate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Meetings" displayName="tblMeetings" ref="A1:H200" headerRowCount="1">
  <autoFilter ref="A1:H200"/>
  <tableColumns count="8">
    <tableColumn id="1" name="Dato"/>
    <tableColumn id="2" name="Hvem"/>
    <tableColumn id="3" name="Tema"/>
    <tableColumn id="4" name="Beslutninger / tilbakemelding"/>
    <tableColumn id="5" name="Action items"/>
    <tableColumn id="6" name="Frist"/>
    <tableColumn id="7" name="Ferdig (x)"/>
    <tableColumn id="8" name="Notater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Writing" displayName="tblWriting" ref="A1:G200" headerRowCount="1">
  <autoFilter ref="A1:G200"/>
  <tableColumns count="7">
    <tableColumn id="1" name="Dato"/>
    <tableColumn id="2" name="Ord skrevet"/>
    <tableColumn id="3" name="Timer"/>
    <tableColumn id="4" name="Kapittel/sekjson"/>
    <tableColumn id="5" name="Hva fikk du gjort?"/>
    <tableColumn id="6" name="Plan for neste økt"/>
    <tableColumn id="7" name="Komment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Progress</t>
        </is>
      </c>
      <c r="D1" t="inlineStr">
        <is>
          <t>Cross-off</t>
        </is>
      </c>
      <c r="F1" t="inlineStr">
        <is>
          <t>Prioritet</t>
        </is>
      </c>
      <c r="H1" t="inlineStr">
        <is>
          <t>Review</t>
        </is>
      </c>
    </row>
    <row r="2">
      <c r="A2" t="inlineStr">
        <is>
          <t>Ikke startet</t>
        </is>
      </c>
      <c r="B2" s="2" t="n">
        <v>0</v>
      </c>
      <c r="F2" t="inlineStr">
        <is>
          <t>Høy</t>
        </is>
      </c>
      <c r="H2" t="inlineStr">
        <is>
          <t>Ikke sendt</t>
        </is>
      </c>
    </row>
    <row r="3">
      <c r="A3" t="inlineStr">
        <is>
          <t>Pågår</t>
        </is>
      </c>
      <c r="B3" s="2" t="n">
        <v>0.35</v>
      </c>
      <c r="D3" t="inlineStr">
        <is>
          <t>x</t>
        </is>
      </c>
      <c r="F3" t="inlineStr">
        <is>
          <t>Middels</t>
        </is>
      </c>
      <c r="H3" t="inlineStr">
        <is>
          <t>Sendt til veileder</t>
        </is>
      </c>
    </row>
    <row r="4">
      <c r="A4" t="inlineStr">
        <is>
          <t>Mest ferdig</t>
        </is>
      </c>
      <c r="B4" s="2" t="n">
        <v>0.75</v>
      </c>
      <c r="F4" t="inlineStr">
        <is>
          <t>Lav</t>
        </is>
      </c>
      <c r="H4" t="inlineStr">
        <is>
          <t>Tilbakemelding mottatt</t>
        </is>
      </c>
    </row>
    <row r="5">
      <c r="A5" t="inlineStr">
        <is>
          <t>Ferdig</t>
        </is>
      </c>
      <c r="B5" s="2" t="n">
        <v>0.9</v>
      </c>
      <c r="H5" t="inlineStr">
        <is>
          <t>Inkorporert</t>
        </is>
      </c>
    </row>
    <row r="6">
      <c r="A6" t="inlineStr">
        <is>
          <t>Korrekturlest</t>
        </is>
      </c>
      <c r="B6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3" t="inlineStr">
        <is>
          <t>Masteroppgave-plan (Excel-mal)</t>
        </is>
      </c>
    </row>
    <row r="3">
      <c r="A3" s="4" t="inlineStr">
        <is>
          <t>Slik bruker du malen</t>
        </is>
      </c>
    </row>
    <row r="5">
      <c r="A5" s="5" t="inlineStr">
        <is>
          <t>• Skriv 'x' for å krysse av (eller slett for å fjerne).</t>
        </is>
      </c>
    </row>
    <row r="6">
      <c r="A6" s="5" t="inlineStr">
        <is>
          <t>• Fyll inn kapitler i 'Kapitler' og detaljer i 'Disposisjon'.</t>
        </is>
      </c>
    </row>
    <row r="7">
      <c r="A7" s="5" t="inlineStr">
        <is>
          <t>• 'Stage' og 'Fremdrift %' oppdateres automatisk basert på avkryssinger og datoer.</t>
        </is>
      </c>
    </row>
    <row r="8">
      <c r="A8" s="5" t="inlineStr">
        <is>
          <t>• Rød markering = forfalt (ikke ferdig). Gul markering = forfaller innen 7 dager.</t>
        </is>
      </c>
    </row>
    <row r="9">
      <c r="A9" s="5" t="inlineStr">
        <is>
          <t>• 'Dashboard' viser samlet status. 'Tidslinje' gir en enkel Gantt-visning per kapittel.</t>
        </is>
      </c>
    </row>
    <row r="10">
      <c r="A10" s="5" t="inlineStr">
        <is>
          <t>Tips: Filtrer tabellene på ChapterNo, Prioritet og Stage.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  <col width="14" customWidth="1" min="4" max="4"/>
    <col width="16" customWidth="1" min="5" max="5"/>
    <col width="11" customWidth="1" min="6" max="6"/>
    <col width="14" customWidth="1" min="7" max="7"/>
    <col width="12" customWidth="1" min="8" max="8"/>
    <col width="30" customWidth="1" min="9" max="9"/>
  </cols>
  <sheetData>
    <row r="1">
      <c r="A1" s="3" t="inlineStr">
        <is>
          <t>Dashboard</t>
        </is>
      </c>
    </row>
    <row r="3">
      <c r="A3" s="4" t="inlineStr">
        <is>
          <t>Innstillinger (fyll inn)</t>
        </is>
      </c>
    </row>
    <row r="4">
      <c r="A4" s="1" t="inlineStr">
        <is>
          <t>Tittel</t>
        </is>
      </c>
      <c r="B4" s="6" t="inlineStr"/>
    </row>
    <row r="5">
      <c r="A5" s="1" t="inlineStr">
        <is>
          <t>Innleveringsdato</t>
        </is>
      </c>
      <c r="B5" s="7" t="inlineStr"/>
    </row>
    <row r="6">
      <c r="A6" s="1" t="inlineStr">
        <is>
          <t>Måltall ord</t>
        </is>
      </c>
      <c r="B6" s="8" t="n">
        <v>40000</v>
      </c>
    </row>
    <row r="7">
      <c r="A7" s="1" t="inlineStr">
        <is>
          <t>Universitet/Program</t>
        </is>
      </c>
      <c r="B7" s="6" t="inlineStr"/>
    </row>
    <row r="8">
      <c r="A8" s="1" t="inlineStr">
        <is>
          <t>Veileder</t>
        </is>
      </c>
      <c r="B8" s="6" t="inlineStr"/>
    </row>
    <row r="11">
      <c r="A11" s="4" t="inlineStr">
        <is>
          <t>Fremdrift (automatisk)</t>
        </is>
      </c>
    </row>
    <row r="12" ht="18" customHeight="1">
      <c r="A12" s="1" t="inlineStr">
        <is>
          <t>Total fremdrift (kapittelnivå)</t>
        </is>
      </c>
      <c r="B12" s="2">
        <f>IFERROR(AVERAGE(Kapitler!$M$2:$M$50),0)</f>
        <v/>
      </c>
    </row>
    <row r="13" ht="18" customHeight="1">
      <c r="A13" s="1" t="inlineStr">
        <is>
          <t>Total fremdrift (detaljnivå)</t>
        </is>
      </c>
      <c r="B13" s="2">
        <f>IFERROR(AVERAGE(Disposisjon!$Q$2:$Q$300),0)</f>
        <v/>
      </c>
    </row>
    <row r="14" ht="18" customHeight="1">
      <c r="A14" s="1" t="inlineStr">
        <is>
          <t>Antall seksjoner</t>
        </is>
      </c>
      <c r="B14" s="9">
        <f>COUNTA(Disposisjon!$D$2:$D$300)</f>
        <v/>
      </c>
    </row>
    <row r="15" ht="18" customHeight="1">
      <c r="A15" s="1" t="inlineStr">
        <is>
          <t>Seksjoner igjen (ikke ferdig)</t>
        </is>
      </c>
      <c r="B15" s="9">
        <f>COUNTIFS(Disposisjon!$O$2:$O$300,"&lt;&gt;Ferdig",Disposisjon!$O$2:$O$300,"&lt;&gt;Korrekturlest",Disposisjon!$D$2:$D$300,"&lt;&gt;")</f>
        <v/>
      </c>
    </row>
    <row r="16" ht="18" customHeight="1">
      <c r="A16" s="1" t="inlineStr">
        <is>
          <t>Forfalt (ikke ferdig)</t>
        </is>
      </c>
      <c r="B16" s="9">
        <f>COUNTIFS(Disposisjon!$I$2:$I$300,"&lt;"&amp;TODAY(),Disposisjon!$O$2:$O$300,"&lt;&gt;Ferdig",Disposisjon!$O$2:$O$300,"&lt;&gt;Korrekturlest",Disposisjon!$D$2:$D$300,"&lt;&gt;")</f>
        <v/>
      </c>
    </row>
    <row r="19">
      <c r="A19" s="4" t="inlineStr">
        <is>
          <t>Kapittelstatus</t>
        </is>
      </c>
    </row>
    <row r="20" ht="24" customHeight="1">
      <c r="A20" s="10" t="inlineStr">
        <is>
          <t>Kapittel</t>
        </is>
      </c>
      <c r="B20" s="10" t="inlineStr">
        <is>
          <t>Tittel</t>
        </is>
      </c>
      <c r="C20" s="10" t="inlineStr">
        <is>
          <t>Plan start</t>
        </is>
      </c>
      <c r="D20" s="10" t="inlineStr">
        <is>
          <t>Plan frist</t>
        </is>
      </c>
      <c r="E20" s="10" t="inlineStr">
        <is>
          <t>Fremdrift (komb.)</t>
        </is>
      </c>
      <c r="F20" s="10" t="inlineStr">
        <is>
          <t>Dager igjen</t>
        </is>
      </c>
      <c r="G20" s="10" t="inlineStr">
        <is>
          <t>Status</t>
        </is>
      </c>
      <c r="H20" s="10" t="inlineStr">
        <is>
          <t>Prioritet</t>
        </is>
      </c>
      <c r="I20" s="10" t="inlineStr">
        <is>
          <t>Neste steg</t>
        </is>
      </c>
    </row>
    <row r="21">
      <c r="A21" t="n">
        <v>1</v>
      </c>
      <c r="B21">
        <f>IFERROR(VLOOKUP($A21,Kapitler!$A$2:$B$50,2,FALSE),"")</f>
        <v/>
      </c>
      <c r="C21" s="11">
        <f>IFERROR(VLOOKUP($A21,Kapitler!$A$2:$D$50,4,FALSE),"")</f>
        <v/>
      </c>
      <c r="D21" s="11">
        <f>IFERROR(VLOOKUP($A21,Kapitler!$A$2:$E$50,5,FALSE),"")</f>
        <v/>
      </c>
      <c r="E21" s="2">
        <f>IFERROR(VLOOKUP($A21,Kapitler!$A$2:$M$50,13,FALSE),"")</f>
        <v/>
      </c>
      <c r="F21" s="9">
        <f>IF($D21="","",$D21-TODAY())</f>
        <v/>
      </c>
      <c r="G21">
        <f>IF($E21="","",IF($E21&gt;=1,"På sporet",IF($E21&gt;=0.75,"Nesten ferdig",IF($E21&gt;=0.35,"Pågår","Ikke startet"))))</f>
        <v/>
      </c>
      <c r="H21">
        <f>IFERROR(VLOOKUP($A21,Kapitler!$A$2:$O$50,15,FALSE),"")</f>
        <v/>
      </c>
      <c r="I21">
        <f>IFERROR(VLOOKUP($A21,Kapitler!$A$2:$N$50,14,FALSE),"")</f>
        <v/>
      </c>
    </row>
    <row r="22">
      <c r="A22" t="n">
        <v>2</v>
      </c>
      <c r="B22">
        <f>IFERROR(VLOOKUP($A22,Kapitler!$A$2:$B$50,2,FALSE),"")</f>
        <v/>
      </c>
      <c r="C22" s="11">
        <f>IFERROR(VLOOKUP($A22,Kapitler!$A$2:$D$50,4,FALSE),"")</f>
        <v/>
      </c>
      <c r="D22" s="11">
        <f>IFERROR(VLOOKUP($A22,Kapitler!$A$2:$E$50,5,FALSE),"")</f>
        <v/>
      </c>
      <c r="E22" s="2">
        <f>IFERROR(VLOOKUP($A22,Kapitler!$A$2:$M$50,13,FALSE),"")</f>
        <v/>
      </c>
      <c r="F22" s="9">
        <f>IF($D22="","",$D22-TODAY())</f>
        <v/>
      </c>
      <c r="G22">
        <f>IF($E22="","",IF($E22&gt;=1,"På sporet",IF($E22&gt;=0.75,"Nesten ferdig",IF($E22&gt;=0.35,"Pågår","Ikke startet"))))</f>
        <v/>
      </c>
      <c r="H22">
        <f>IFERROR(VLOOKUP($A22,Kapitler!$A$2:$O$50,15,FALSE),"")</f>
        <v/>
      </c>
      <c r="I22">
        <f>IFERROR(VLOOKUP($A22,Kapitler!$A$2:$N$50,14,FALSE),"")</f>
        <v/>
      </c>
    </row>
    <row r="23">
      <c r="A23" t="n">
        <v>3</v>
      </c>
      <c r="B23">
        <f>IFERROR(VLOOKUP($A23,Kapitler!$A$2:$B$50,2,FALSE),"")</f>
        <v/>
      </c>
      <c r="C23" s="11">
        <f>IFERROR(VLOOKUP($A23,Kapitler!$A$2:$D$50,4,FALSE),"")</f>
        <v/>
      </c>
      <c r="D23" s="11">
        <f>IFERROR(VLOOKUP($A23,Kapitler!$A$2:$E$50,5,FALSE),"")</f>
        <v/>
      </c>
      <c r="E23" s="2">
        <f>IFERROR(VLOOKUP($A23,Kapitler!$A$2:$M$50,13,FALSE),"")</f>
        <v/>
      </c>
      <c r="F23" s="9">
        <f>IF($D23="","",$D23-TODAY())</f>
        <v/>
      </c>
      <c r="G23">
        <f>IF($E23="","",IF($E23&gt;=1,"På sporet",IF($E23&gt;=0.75,"Nesten ferdig",IF($E23&gt;=0.35,"Pågår","Ikke startet"))))</f>
        <v/>
      </c>
      <c r="H23">
        <f>IFERROR(VLOOKUP($A23,Kapitler!$A$2:$O$50,15,FALSE),"")</f>
        <v/>
      </c>
      <c r="I23">
        <f>IFERROR(VLOOKUP($A23,Kapitler!$A$2:$N$50,14,FALSE),"")</f>
        <v/>
      </c>
    </row>
    <row r="24">
      <c r="A24" t="n">
        <v>4</v>
      </c>
      <c r="B24">
        <f>IFERROR(VLOOKUP($A24,Kapitler!$A$2:$B$50,2,FALSE),"")</f>
        <v/>
      </c>
      <c r="C24" s="11">
        <f>IFERROR(VLOOKUP($A24,Kapitler!$A$2:$D$50,4,FALSE),"")</f>
        <v/>
      </c>
      <c r="D24" s="11">
        <f>IFERROR(VLOOKUP($A24,Kapitler!$A$2:$E$50,5,FALSE),"")</f>
        <v/>
      </c>
      <c r="E24" s="2">
        <f>IFERROR(VLOOKUP($A24,Kapitler!$A$2:$M$50,13,FALSE),"")</f>
        <v/>
      </c>
      <c r="F24" s="9">
        <f>IF($D24="","",$D24-TODAY())</f>
        <v/>
      </c>
      <c r="G24">
        <f>IF($E24="","",IF($E24&gt;=1,"På sporet",IF($E24&gt;=0.75,"Nesten ferdig",IF($E24&gt;=0.35,"Pågår","Ikke startet"))))</f>
        <v/>
      </c>
      <c r="H24">
        <f>IFERROR(VLOOKUP($A24,Kapitler!$A$2:$O$50,15,FALSE),"")</f>
        <v/>
      </c>
      <c r="I24">
        <f>IFERROR(VLOOKUP($A24,Kapitler!$A$2:$N$50,14,FALSE),"")</f>
        <v/>
      </c>
    </row>
    <row r="25">
      <c r="A25" t="n">
        <v>5</v>
      </c>
      <c r="B25">
        <f>IFERROR(VLOOKUP($A25,Kapitler!$A$2:$B$50,2,FALSE),"")</f>
        <v/>
      </c>
      <c r="C25" s="11">
        <f>IFERROR(VLOOKUP($A25,Kapitler!$A$2:$D$50,4,FALSE),"")</f>
        <v/>
      </c>
      <c r="D25" s="11">
        <f>IFERROR(VLOOKUP($A25,Kapitler!$A$2:$E$50,5,FALSE),"")</f>
        <v/>
      </c>
      <c r="E25" s="2">
        <f>IFERROR(VLOOKUP($A25,Kapitler!$A$2:$M$50,13,FALSE),"")</f>
        <v/>
      </c>
      <c r="F25" s="9">
        <f>IF($D25="","",$D25-TODAY())</f>
        <v/>
      </c>
      <c r="G25">
        <f>IF($E25="","",IF($E25&gt;=1,"På sporet",IF($E25&gt;=0.75,"Nesten ferdig",IF($E25&gt;=0.35,"Pågår","Ikke startet"))))</f>
        <v/>
      </c>
      <c r="H25">
        <f>IFERROR(VLOOKUP($A25,Kapitler!$A$2:$O$50,15,FALSE),"")</f>
        <v/>
      </c>
      <c r="I25">
        <f>IFERROR(VLOOKUP($A25,Kapitler!$A$2:$N$50,14,FALSE),"")</f>
        <v/>
      </c>
    </row>
    <row r="26">
      <c r="A26" t="n">
        <v>6</v>
      </c>
      <c r="B26">
        <f>IFERROR(VLOOKUP($A26,Kapitler!$A$2:$B$50,2,FALSE),"")</f>
        <v/>
      </c>
      <c r="C26" s="11">
        <f>IFERROR(VLOOKUP($A26,Kapitler!$A$2:$D$50,4,FALSE),"")</f>
        <v/>
      </c>
      <c r="D26" s="11">
        <f>IFERROR(VLOOKUP($A26,Kapitler!$A$2:$E$50,5,FALSE),"")</f>
        <v/>
      </c>
      <c r="E26" s="2">
        <f>IFERROR(VLOOKUP($A26,Kapitler!$A$2:$M$50,13,FALSE),"")</f>
        <v/>
      </c>
      <c r="F26" s="9">
        <f>IF($D26="","",$D26-TODAY())</f>
        <v/>
      </c>
      <c r="G26">
        <f>IF($E26="","",IF($E26&gt;=1,"På sporet",IF($E26&gt;=0.75,"Nesten ferdig",IF($E26&gt;=0.35,"Pågår","Ikke startet"))))</f>
        <v/>
      </c>
      <c r="H26">
        <f>IFERROR(VLOOKUP($A26,Kapitler!$A$2:$O$50,15,FALSE),"")</f>
        <v/>
      </c>
      <c r="I26">
        <f>IFERROR(VLOOKUP($A26,Kapitler!$A$2:$N$50,14,FALSE),"")</f>
        <v/>
      </c>
    </row>
    <row r="27">
      <c r="A27" t="n">
        <v>7</v>
      </c>
      <c r="B27">
        <f>IFERROR(VLOOKUP($A27,Kapitler!$A$2:$B$50,2,FALSE),"")</f>
        <v/>
      </c>
      <c r="C27" s="11">
        <f>IFERROR(VLOOKUP($A27,Kapitler!$A$2:$D$50,4,FALSE),"")</f>
        <v/>
      </c>
      <c r="D27" s="11">
        <f>IFERROR(VLOOKUP($A27,Kapitler!$A$2:$E$50,5,FALSE),"")</f>
        <v/>
      </c>
      <c r="E27" s="2">
        <f>IFERROR(VLOOKUP($A27,Kapitler!$A$2:$M$50,13,FALSE),"")</f>
        <v/>
      </c>
      <c r="F27" s="9">
        <f>IF($D27="","",$D27-TODAY())</f>
        <v/>
      </c>
      <c r="G27">
        <f>IF($E27="","",IF($E27&gt;=1,"På sporet",IF($E27&gt;=0.75,"Nesten ferdig",IF($E27&gt;=0.35,"Pågår","Ikke startet"))))</f>
        <v/>
      </c>
      <c r="H27">
        <f>IFERROR(VLOOKUP($A27,Kapitler!$A$2:$O$50,15,FALSE),"")</f>
        <v/>
      </c>
      <c r="I27">
        <f>IFERROR(VLOOKUP($A27,Kapitler!$A$2:$N$50,14,FALSE),"")</f>
        <v/>
      </c>
    </row>
    <row r="28">
      <c r="A28" t="n">
        <v>8</v>
      </c>
      <c r="B28">
        <f>IFERROR(VLOOKUP($A28,Kapitler!$A$2:$B$50,2,FALSE),"")</f>
        <v/>
      </c>
      <c r="C28" s="11">
        <f>IFERROR(VLOOKUP($A28,Kapitler!$A$2:$D$50,4,FALSE),"")</f>
        <v/>
      </c>
      <c r="D28" s="11">
        <f>IFERROR(VLOOKUP($A28,Kapitler!$A$2:$E$50,5,FALSE),"")</f>
        <v/>
      </c>
      <c r="E28" s="2">
        <f>IFERROR(VLOOKUP($A28,Kapitler!$A$2:$M$50,13,FALSE),"")</f>
        <v/>
      </c>
      <c r="F28" s="9">
        <f>IF($D28="","",$D28-TODAY())</f>
        <v/>
      </c>
      <c r="G28">
        <f>IF($E28="","",IF($E28&gt;=1,"På sporet",IF($E28&gt;=0.75,"Nesten ferdig",IF($E28&gt;=0.35,"Pågår","Ikke startet"))))</f>
        <v/>
      </c>
      <c r="H28">
        <f>IFERROR(VLOOKUP($A28,Kapitler!$A$2:$O$50,15,FALSE),"")</f>
        <v/>
      </c>
      <c r="I28">
        <f>IFERROR(VLOOKUP($A28,Kapitler!$A$2:$N$50,14,FALSE),"")</f>
        <v/>
      </c>
    </row>
    <row r="29">
      <c r="A29" t="n">
        <v>9</v>
      </c>
      <c r="B29">
        <f>IFERROR(VLOOKUP($A29,Kapitler!$A$2:$B$50,2,FALSE),"")</f>
        <v/>
      </c>
      <c r="C29" s="11">
        <f>IFERROR(VLOOKUP($A29,Kapitler!$A$2:$D$50,4,FALSE),"")</f>
        <v/>
      </c>
      <c r="D29" s="11">
        <f>IFERROR(VLOOKUP($A29,Kapitler!$A$2:$E$50,5,FALSE),"")</f>
        <v/>
      </c>
      <c r="E29" s="2">
        <f>IFERROR(VLOOKUP($A29,Kapitler!$A$2:$M$50,13,FALSE),"")</f>
        <v/>
      </c>
      <c r="F29" s="9">
        <f>IF($D29="","",$D29-TODAY())</f>
        <v/>
      </c>
      <c r="G29">
        <f>IF($E29="","",IF($E29&gt;=1,"På sporet",IF($E29&gt;=0.75,"Nesten ferdig",IF($E29&gt;=0.35,"Pågår","Ikke startet"))))</f>
        <v/>
      </c>
      <c r="H29">
        <f>IFERROR(VLOOKUP($A29,Kapitler!$A$2:$O$50,15,FALSE),"")</f>
        <v/>
      </c>
      <c r="I29">
        <f>IFERROR(VLOOKUP($A29,Kapitler!$A$2:$N$50,14,FALSE),"")</f>
        <v/>
      </c>
    </row>
    <row r="30">
      <c r="A30" t="n">
        <v>10</v>
      </c>
      <c r="B30">
        <f>IFERROR(VLOOKUP($A30,Kapitler!$A$2:$B$50,2,FALSE),"")</f>
        <v/>
      </c>
      <c r="C30" s="11">
        <f>IFERROR(VLOOKUP($A30,Kapitler!$A$2:$D$50,4,FALSE),"")</f>
        <v/>
      </c>
      <c r="D30" s="11">
        <f>IFERROR(VLOOKUP($A30,Kapitler!$A$2:$E$50,5,FALSE),"")</f>
        <v/>
      </c>
      <c r="E30" s="2">
        <f>IFERROR(VLOOKUP($A30,Kapitler!$A$2:$M$50,13,FALSE),"")</f>
        <v/>
      </c>
      <c r="F30" s="9">
        <f>IF($D30="","",$D30-TODAY())</f>
        <v/>
      </c>
      <c r="G30">
        <f>IF($E30="","",IF($E30&gt;=1,"På sporet",IF($E30&gt;=0.75,"Nesten ferdig",IF($E30&gt;=0.35,"Pågår","Ikke startet"))))</f>
        <v/>
      </c>
      <c r="H30">
        <f>IFERROR(VLOOKUP($A30,Kapitler!$A$2:$O$50,15,FALSE),"")</f>
        <v/>
      </c>
      <c r="I30">
        <f>IFERROR(VLOOKUP($A30,Kapitler!$A$2:$N$50,14,FALSE),"")</f>
        <v/>
      </c>
    </row>
    <row r="31">
      <c r="A31" t="n">
        <v>11</v>
      </c>
      <c r="B31">
        <f>IFERROR(VLOOKUP($A31,Kapitler!$A$2:$B$50,2,FALSE),"")</f>
        <v/>
      </c>
      <c r="C31" s="11">
        <f>IFERROR(VLOOKUP($A31,Kapitler!$A$2:$D$50,4,FALSE),"")</f>
        <v/>
      </c>
      <c r="D31" s="11">
        <f>IFERROR(VLOOKUP($A31,Kapitler!$A$2:$E$50,5,FALSE),"")</f>
        <v/>
      </c>
      <c r="E31" s="2">
        <f>IFERROR(VLOOKUP($A31,Kapitler!$A$2:$M$50,13,FALSE),"")</f>
        <v/>
      </c>
      <c r="F31" s="9">
        <f>IF($D31="","",$D31-TODAY())</f>
        <v/>
      </c>
      <c r="G31">
        <f>IF($E31="","",IF($E31&gt;=1,"På sporet",IF($E31&gt;=0.75,"Nesten ferdig",IF($E31&gt;=0.35,"Pågår","Ikke startet"))))</f>
        <v/>
      </c>
      <c r="H31">
        <f>IFERROR(VLOOKUP($A31,Kapitler!$A$2:$O$50,15,FALSE),"")</f>
        <v/>
      </c>
      <c r="I31">
        <f>IFERROR(VLOOKUP($A31,Kapitler!$A$2:$N$50,14,FALSE),"")</f>
        <v/>
      </c>
    </row>
    <row r="32">
      <c r="A32" t="n">
        <v>12</v>
      </c>
      <c r="B32">
        <f>IFERROR(VLOOKUP($A32,Kapitler!$A$2:$B$50,2,FALSE),"")</f>
        <v/>
      </c>
      <c r="C32" s="11">
        <f>IFERROR(VLOOKUP($A32,Kapitler!$A$2:$D$50,4,FALSE),"")</f>
        <v/>
      </c>
      <c r="D32" s="11">
        <f>IFERROR(VLOOKUP($A32,Kapitler!$A$2:$E$50,5,FALSE),"")</f>
        <v/>
      </c>
      <c r="E32" s="2">
        <f>IFERROR(VLOOKUP($A32,Kapitler!$A$2:$M$50,13,FALSE),"")</f>
        <v/>
      </c>
      <c r="F32" s="9">
        <f>IF($D32="","",$D32-TODAY())</f>
        <v/>
      </c>
      <c r="G32">
        <f>IF($E32="","",IF($E32&gt;=1,"På sporet",IF($E32&gt;=0.75,"Nesten ferdig",IF($E32&gt;=0.35,"Pågår","Ikke startet"))))</f>
        <v/>
      </c>
      <c r="H32">
        <f>IFERROR(VLOOKUP($A32,Kapitler!$A$2:$O$50,15,FALSE),"")</f>
        <v/>
      </c>
      <c r="I32">
        <f>IFERROR(VLOOKUP($A32,Kapitler!$A$2:$N$50,14,FALSE),"")</f>
        <v/>
      </c>
    </row>
  </sheetData>
  <conditionalFormatting sqref="A21:I32">
    <cfRule type="expression" priority="1" dxfId="0">
      <formula>=AND($F21&lt;0,$E21&lt;1)</formula>
    </cfRule>
    <cfRule type="expression" priority="2" dxfId="1">
      <formula>=AND($F21&gt;=0,$F21&lt;=7,$E21&lt;1)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14" customWidth="1" min="4" max="4"/>
    <col width="14" customWidth="1" min="5" max="5"/>
    <col width="14" customWidth="1" min="6" max="6"/>
    <col width="13" customWidth="1" min="7" max="7"/>
    <col width="10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8" customWidth="1" min="14" max="14"/>
    <col width="12" customWidth="1" min="15" max="15"/>
    <col width="32" customWidth="1" min="16" max="16"/>
  </cols>
  <sheetData>
    <row r="1" ht="26" customHeight="1">
      <c r="A1" s="10" t="inlineStr">
        <is>
          <t>ChapterNo</t>
        </is>
      </c>
      <c r="B1" s="10" t="inlineStr">
        <is>
          <t>Kapittel-tittel</t>
        </is>
      </c>
      <c r="C1" s="10" t="inlineStr">
        <is>
          <t>Mål ord</t>
        </is>
      </c>
      <c r="D1" s="10" t="inlineStr">
        <is>
          <t>Plan start</t>
        </is>
      </c>
      <c r="E1" s="10" t="inlineStr">
        <is>
          <t>Plan frist</t>
        </is>
      </c>
      <c r="F1" s="10" t="inlineStr">
        <is>
          <t>Faktisk ferdig</t>
        </is>
      </c>
      <c r="G1" s="10" t="inlineStr">
        <is>
          <t>Mest ferdig (x)</t>
        </is>
      </c>
      <c r="H1" s="10" t="inlineStr">
        <is>
          <t>Ferdig (x)</t>
        </is>
      </c>
      <c r="I1" s="10" t="inlineStr">
        <is>
          <t>Korrekturlest (x)</t>
        </is>
      </c>
      <c r="J1" s="10" t="inlineStr">
        <is>
          <t>Stage (manuell)</t>
        </is>
      </c>
      <c r="K1" s="10" t="inlineStr">
        <is>
          <t>Fremdrift (manuell)</t>
        </is>
      </c>
      <c r="L1" s="10" t="inlineStr">
        <is>
          <t>Fremdrift (detalj)</t>
        </is>
      </c>
      <c r="M1" s="10" t="inlineStr">
        <is>
          <t>Fremdrift (komb.)</t>
        </is>
      </c>
      <c r="N1" s="10" t="inlineStr">
        <is>
          <t>Neste steg</t>
        </is>
      </c>
      <c r="O1" s="10" t="inlineStr">
        <is>
          <t>Prioritet</t>
        </is>
      </c>
      <c r="P1" s="10" t="inlineStr">
        <is>
          <t>Notater</t>
        </is>
      </c>
    </row>
    <row r="2">
      <c r="A2" t="n">
        <v>1</v>
      </c>
      <c r="B2" s="6" t="inlineStr">
        <is>
          <t>Introduksjon</t>
        </is>
      </c>
      <c r="C2" s="8" t="n">
        <v>3000</v>
      </c>
      <c r="D2" s="7" t="inlineStr"/>
      <c r="E2" s="7" t="inlineStr"/>
      <c r="F2" s="7" t="inlineStr"/>
      <c r="G2" s="6" t="inlineStr"/>
      <c r="H2" s="6" t="inlineStr"/>
      <c r="I2" s="6" t="inlineStr"/>
      <c r="J2">
        <f>IF($I2="x","Korrekturlest",IF($H2="x","Ferdig",IF($G2="x","Mest ferdig","Ikke startet")))</f>
        <v/>
      </c>
      <c r="K2" s="2">
        <f>IFERROR(VLOOKUP($J2,Lists!$A$2:$B$6,2,FALSE),0)</f>
        <v/>
      </c>
      <c r="L2" s="2">
        <f>IFERROR(AVERAGEIF(Disposisjon!$A$2:$A$300,$A2,Disposisjon!$Q$2:$Q$300),0)</f>
        <v/>
      </c>
      <c r="M2" s="2">
        <f>MAX($K2,$L2)</f>
        <v/>
      </c>
      <c r="N2" s="6" t="inlineStr"/>
      <c r="O2" s="6" t="inlineStr">
        <is>
          <t>Middels</t>
        </is>
      </c>
      <c r="P2" s="6" t="inlineStr"/>
    </row>
    <row r="3">
      <c r="A3" t="n">
        <v>2</v>
      </c>
      <c r="B3" s="6" t="inlineStr">
        <is>
          <t>Teori / Litteraturgjennomgang</t>
        </is>
      </c>
      <c r="C3" s="8" t="n">
        <v>9000</v>
      </c>
      <c r="D3" s="7" t="inlineStr"/>
      <c r="E3" s="7" t="inlineStr"/>
      <c r="F3" s="7" t="inlineStr"/>
      <c r="G3" s="6" t="inlineStr"/>
      <c r="H3" s="6" t="inlineStr"/>
      <c r="I3" s="6" t="inlineStr"/>
      <c r="J3">
        <f>IF($I3="x","Korrekturlest",IF($H3="x","Ferdig",IF($G3="x","Mest ferdig","Ikke startet")))</f>
        <v/>
      </c>
      <c r="K3" s="2">
        <f>IFERROR(VLOOKUP($J3,Lists!$A$2:$B$6,2,FALSE),0)</f>
        <v/>
      </c>
      <c r="L3" s="2">
        <f>IFERROR(AVERAGEIF(Disposisjon!$A$2:$A$300,$A3,Disposisjon!$Q$2:$Q$300),0)</f>
        <v/>
      </c>
      <c r="M3" s="2">
        <f>MAX($K3,$L3)</f>
        <v/>
      </c>
      <c r="N3" s="6" t="inlineStr"/>
      <c r="O3" s="6" t="inlineStr">
        <is>
          <t>Middels</t>
        </is>
      </c>
      <c r="P3" s="6" t="inlineStr"/>
    </row>
    <row r="4">
      <c r="A4" t="n">
        <v>3</v>
      </c>
      <c r="B4" s="6" t="inlineStr">
        <is>
          <t>Metode</t>
        </is>
      </c>
      <c r="C4" s="8" t="n">
        <v>7000</v>
      </c>
      <c r="D4" s="7" t="inlineStr"/>
      <c r="E4" s="7" t="inlineStr"/>
      <c r="F4" s="7" t="inlineStr"/>
      <c r="G4" s="6" t="inlineStr"/>
      <c r="H4" s="6" t="inlineStr"/>
      <c r="I4" s="6" t="inlineStr"/>
      <c r="J4">
        <f>IF($I4="x","Korrekturlest",IF($H4="x","Ferdig",IF($G4="x","Mest ferdig","Ikke startet")))</f>
        <v/>
      </c>
      <c r="K4" s="2">
        <f>IFERROR(VLOOKUP($J4,Lists!$A$2:$B$6,2,FALSE),0)</f>
        <v/>
      </c>
      <c r="L4" s="2">
        <f>IFERROR(AVERAGEIF(Disposisjon!$A$2:$A$300,$A4,Disposisjon!$Q$2:$Q$300),0)</f>
        <v/>
      </c>
      <c r="M4" s="2">
        <f>MAX($K4,$L4)</f>
        <v/>
      </c>
      <c r="N4" s="6" t="inlineStr"/>
      <c r="O4" s="6" t="inlineStr">
        <is>
          <t>Middels</t>
        </is>
      </c>
      <c r="P4" s="6" t="inlineStr"/>
    </row>
    <row r="5">
      <c r="A5" t="n">
        <v>4</v>
      </c>
      <c r="B5" s="6" t="inlineStr">
        <is>
          <t>Resultater</t>
        </is>
      </c>
      <c r="C5" s="8" t="n">
        <v>8000</v>
      </c>
      <c r="D5" s="7" t="inlineStr"/>
      <c r="E5" s="7" t="inlineStr"/>
      <c r="F5" s="7" t="inlineStr"/>
      <c r="G5" s="6" t="inlineStr"/>
      <c r="H5" s="6" t="inlineStr"/>
      <c r="I5" s="6" t="inlineStr"/>
      <c r="J5">
        <f>IF($I5="x","Korrekturlest",IF($H5="x","Ferdig",IF($G5="x","Mest ferdig","Ikke startet")))</f>
        <v/>
      </c>
      <c r="K5" s="2">
        <f>IFERROR(VLOOKUP($J5,Lists!$A$2:$B$6,2,FALSE),0)</f>
        <v/>
      </c>
      <c r="L5" s="2">
        <f>IFERROR(AVERAGEIF(Disposisjon!$A$2:$A$300,$A5,Disposisjon!$Q$2:$Q$300),0)</f>
        <v/>
      </c>
      <c r="M5" s="2">
        <f>MAX($K5,$L5)</f>
        <v/>
      </c>
      <c r="N5" s="6" t="inlineStr"/>
      <c r="O5" s="6" t="inlineStr">
        <is>
          <t>Middels</t>
        </is>
      </c>
      <c r="P5" s="6" t="inlineStr"/>
    </row>
    <row r="6">
      <c r="A6" t="n">
        <v>5</v>
      </c>
      <c r="B6" s="6" t="inlineStr">
        <is>
          <t>Diskusjon</t>
        </is>
      </c>
      <c r="C6" s="8" t="n">
        <v>9000</v>
      </c>
      <c r="D6" s="7" t="inlineStr"/>
      <c r="E6" s="7" t="inlineStr"/>
      <c r="F6" s="7" t="inlineStr"/>
      <c r="G6" s="6" t="inlineStr"/>
      <c r="H6" s="6" t="inlineStr"/>
      <c r="I6" s="6" t="inlineStr"/>
      <c r="J6">
        <f>IF($I6="x","Korrekturlest",IF($H6="x","Ferdig",IF($G6="x","Mest ferdig","Ikke startet")))</f>
        <v/>
      </c>
      <c r="K6" s="2">
        <f>IFERROR(VLOOKUP($J6,Lists!$A$2:$B$6,2,FALSE),0)</f>
        <v/>
      </c>
      <c r="L6" s="2">
        <f>IFERROR(AVERAGEIF(Disposisjon!$A$2:$A$300,$A6,Disposisjon!$Q$2:$Q$300),0)</f>
        <v/>
      </c>
      <c r="M6" s="2">
        <f>MAX($K6,$L6)</f>
        <v/>
      </c>
      <c r="N6" s="6" t="inlineStr"/>
      <c r="O6" s="6" t="inlineStr">
        <is>
          <t>Middels</t>
        </is>
      </c>
      <c r="P6" s="6" t="inlineStr"/>
    </row>
    <row r="7">
      <c r="A7" t="n">
        <v>6</v>
      </c>
      <c r="B7" s="6" t="inlineStr">
        <is>
          <t>Konklusjon</t>
        </is>
      </c>
      <c r="C7" s="8" t="n">
        <v>4000</v>
      </c>
      <c r="D7" s="7" t="inlineStr"/>
      <c r="E7" s="7" t="inlineStr"/>
      <c r="F7" s="7" t="inlineStr"/>
      <c r="G7" s="6" t="inlineStr"/>
      <c r="H7" s="6" t="inlineStr"/>
      <c r="I7" s="6" t="inlineStr"/>
      <c r="J7">
        <f>IF($I7="x","Korrekturlest",IF($H7="x","Ferdig",IF($G7="x","Mest ferdig","Ikke startet")))</f>
        <v/>
      </c>
      <c r="K7" s="2">
        <f>IFERROR(VLOOKUP($J7,Lists!$A$2:$B$6,2,FALSE),0)</f>
        <v/>
      </c>
      <c r="L7" s="2">
        <f>IFERROR(AVERAGEIF(Disposisjon!$A$2:$A$300,$A7,Disposisjon!$Q$2:$Q$300),0)</f>
        <v/>
      </c>
      <c r="M7" s="2">
        <f>MAX($K7,$L7)</f>
        <v/>
      </c>
      <c r="N7" s="6" t="inlineStr"/>
      <c r="O7" s="6" t="inlineStr">
        <is>
          <t>Middels</t>
        </is>
      </c>
      <c r="P7" s="6" t="inlineStr"/>
    </row>
    <row r="8">
      <c r="B8" s="6" t="inlineStr"/>
      <c r="C8" s="8" t="inlineStr"/>
      <c r="D8" s="7" t="inlineStr"/>
      <c r="E8" s="7" t="inlineStr"/>
      <c r="F8" s="7" t="inlineStr"/>
      <c r="G8" s="6" t="inlineStr"/>
      <c r="H8" s="6" t="inlineStr"/>
      <c r="I8" s="6" t="inlineStr"/>
      <c r="J8">
        <f>IF($I8="x","Korrekturlest",IF($H8="x","Ferdig",IF($G8="x","Mest ferdig","Ikke startet")))</f>
        <v/>
      </c>
      <c r="K8" s="2">
        <f>IF($A8="","",IFERROR(VLOOKUP($J8,Lists!$A$2:$B$6,2,FALSE),0))</f>
        <v/>
      </c>
      <c r="L8" s="2">
        <f>IF($A8="","",IFERROR(AVERAGEIF(Disposisjon!$A$2:$A$300,$A8,Disposisjon!$Q$2:$Q$300),0))</f>
        <v/>
      </c>
      <c r="M8" s="2">
        <f>IF($A8="","",MAX($K8,$L8))</f>
        <v/>
      </c>
      <c r="N8" s="6" t="inlineStr"/>
      <c r="O8" s="6" t="inlineStr">
        <is>
          <t>Middels</t>
        </is>
      </c>
      <c r="P8" s="6" t="inlineStr"/>
    </row>
    <row r="9">
      <c r="B9" s="6" t="inlineStr"/>
      <c r="C9" s="8" t="inlineStr"/>
      <c r="D9" s="7" t="inlineStr"/>
      <c r="E9" s="7" t="inlineStr"/>
      <c r="F9" s="7" t="inlineStr"/>
      <c r="G9" s="6" t="inlineStr"/>
      <c r="H9" s="6" t="inlineStr"/>
      <c r="I9" s="6" t="inlineStr"/>
      <c r="J9">
        <f>IF($I9="x","Korrekturlest",IF($H9="x","Ferdig",IF($G9="x","Mest ferdig","Ikke startet")))</f>
        <v/>
      </c>
      <c r="K9" s="2">
        <f>IF($A9="","",IFERROR(VLOOKUP($J9,Lists!$A$2:$B$6,2,FALSE),0))</f>
        <v/>
      </c>
      <c r="L9" s="2">
        <f>IF($A9="","",IFERROR(AVERAGEIF(Disposisjon!$A$2:$A$300,$A9,Disposisjon!$Q$2:$Q$300),0))</f>
        <v/>
      </c>
      <c r="M9" s="2">
        <f>IF($A9="","",MAX($K9,$L9))</f>
        <v/>
      </c>
      <c r="N9" s="6" t="inlineStr"/>
      <c r="O9" s="6" t="inlineStr">
        <is>
          <t>Middels</t>
        </is>
      </c>
      <c r="P9" s="6" t="inlineStr"/>
    </row>
    <row r="10">
      <c r="B10" s="6" t="inlineStr"/>
      <c r="C10" s="8" t="inlineStr"/>
      <c r="D10" s="7" t="inlineStr"/>
      <c r="E10" s="7" t="inlineStr"/>
      <c r="F10" s="7" t="inlineStr"/>
      <c r="G10" s="6" t="inlineStr"/>
      <c r="H10" s="6" t="inlineStr"/>
      <c r="I10" s="6" t="inlineStr"/>
      <c r="J10">
        <f>IF($I10="x","Korrekturlest",IF($H10="x","Ferdig",IF($G10="x","Mest ferdig","Ikke startet")))</f>
        <v/>
      </c>
      <c r="K10" s="2">
        <f>IF($A10="","",IFERROR(VLOOKUP($J10,Lists!$A$2:$B$6,2,FALSE),0))</f>
        <v/>
      </c>
      <c r="L10" s="2">
        <f>IF($A10="","",IFERROR(AVERAGEIF(Disposisjon!$A$2:$A$300,$A10,Disposisjon!$Q$2:$Q$300),0))</f>
        <v/>
      </c>
      <c r="M10" s="2">
        <f>IF($A10="","",MAX($K10,$L10))</f>
        <v/>
      </c>
      <c r="N10" s="6" t="inlineStr"/>
      <c r="O10" s="6" t="inlineStr">
        <is>
          <t>Middels</t>
        </is>
      </c>
      <c r="P10" s="6" t="inlineStr"/>
    </row>
    <row r="11">
      <c r="B11" s="6" t="inlineStr"/>
      <c r="C11" s="8" t="inlineStr"/>
      <c r="D11" s="7" t="inlineStr"/>
      <c r="E11" s="7" t="inlineStr"/>
      <c r="F11" s="7" t="inlineStr"/>
      <c r="G11" s="6" t="inlineStr"/>
      <c r="H11" s="6" t="inlineStr"/>
      <c r="I11" s="6" t="inlineStr"/>
      <c r="J11">
        <f>IF($I11="x","Korrekturlest",IF($H11="x","Ferdig",IF($G11="x","Mest ferdig","Ikke startet")))</f>
        <v/>
      </c>
      <c r="K11" s="2">
        <f>IF($A11="","",IFERROR(VLOOKUP($J11,Lists!$A$2:$B$6,2,FALSE),0))</f>
        <v/>
      </c>
      <c r="L11" s="2">
        <f>IF($A11="","",IFERROR(AVERAGEIF(Disposisjon!$A$2:$A$300,$A11,Disposisjon!$Q$2:$Q$300),0))</f>
        <v/>
      </c>
      <c r="M11" s="2">
        <f>IF($A11="","",MAX($K11,$L11))</f>
        <v/>
      </c>
      <c r="N11" s="6" t="inlineStr"/>
      <c r="O11" s="6" t="inlineStr">
        <is>
          <t>Middels</t>
        </is>
      </c>
      <c r="P11" s="6" t="inlineStr"/>
    </row>
    <row r="12">
      <c r="B12" s="6" t="inlineStr"/>
      <c r="C12" s="8" t="inlineStr"/>
      <c r="D12" s="7" t="inlineStr"/>
      <c r="E12" s="7" t="inlineStr"/>
      <c r="F12" s="7" t="inlineStr"/>
      <c r="G12" s="6" t="inlineStr"/>
      <c r="H12" s="6" t="inlineStr"/>
      <c r="I12" s="6" t="inlineStr"/>
      <c r="J12">
        <f>IF($I12="x","Korrekturlest",IF($H12="x","Ferdig",IF($G12="x","Mest ferdig","Ikke startet")))</f>
        <v/>
      </c>
      <c r="K12" s="2">
        <f>IF($A12="","",IFERROR(VLOOKUP($J12,Lists!$A$2:$B$6,2,FALSE),0))</f>
        <v/>
      </c>
      <c r="L12" s="2">
        <f>IF($A12="","",IFERROR(AVERAGEIF(Disposisjon!$A$2:$A$300,$A12,Disposisjon!$Q$2:$Q$300),0))</f>
        <v/>
      </c>
      <c r="M12" s="2">
        <f>IF($A12="","",MAX($K12,$L12))</f>
        <v/>
      </c>
      <c r="N12" s="6" t="inlineStr"/>
      <c r="O12" s="6" t="inlineStr">
        <is>
          <t>Middels</t>
        </is>
      </c>
      <c r="P12" s="6" t="inlineStr"/>
    </row>
    <row r="13">
      <c r="B13" s="6" t="inlineStr"/>
      <c r="C13" s="8" t="inlineStr"/>
      <c r="D13" s="7" t="inlineStr"/>
      <c r="E13" s="7" t="inlineStr"/>
      <c r="F13" s="7" t="inlineStr"/>
      <c r="G13" s="6" t="inlineStr"/>
      <c r="H13" s="6" t="inlineStr"/>
      <c r="I13" s="6" t="inlineStr"/>
      <c r="J13">
        <f>IF($I13="x","Korrekturlest",IF($H13="x","Ferdig",IF($G13="x","Mest ferdig","Ikke startet")))</f>
        <v/>
      </c>
      <c r="K13" s="2">
        <f>IF($A13="","",IFERROR(VLOOKUP($J13,Lists!$A$2:$B$6,2,FALSE),0))</f>
        <v/>
      </c>
      <c r="L13" s="2">
        <f>IF($A13="","",IFERROR(AVERAGEIF(Disposisjon!$A$2:$A$300,$A13,Disposisjon!$Q$2:$Q$300),0))</f>
        <v/>
      </c>
      <c r="M13" s="2">
        <f>IF($A13="","",MAX($K13,$L13))</f>
        <v/>
      </c>
      <c r="N13" s="6" t="inlineStr"/>
      <c r="O13" s="6" t="inlineStr">
        <is>
          <t>Middels</t>
        </is>
      </c>
      <c r="P13" s="6" t="inlineStr"/>
    </row>
    <row r="14">
      <c r="B14" s="6" t="inlineStr"/>
      <c r="C14" s="8" t="inlineStr"/>
      <c r="D14" s="7" t="inlineStr"/>
      <c r="E14" s="7" t="inlineStr"/>
      <c r="F14" s="7" t="inlineStr"/>
      <c r="G14" s="6" t="inlineStr"/>
      <c r="H14" s="6" t="inlineStr"/>
      <c r="I14" s="6" t="inlineStr"/>
      <c r="J14">
        <f>IF($I14="x","Korrekturlest",IF($H14="x","Ferdig",IF($G14="x","Mest ferdig","Ikke startet")))</f>
        <v/>
      </c>
      <c r="K14" s="2">
        <f>IF($A14="","",IFERROR(VLOOKUP($J14,Lists!$A$2:$B$6,2,FALSE),0))</f>
        <v/>
      </c>
      <c r="L14" s="2">
        <f>IF($A14="","",IFERROR(AVERAGEIF(Disposisjon!$A$2:$A$300,$A14,Disposisjon!$Q$2:$Q$300),0))</f>
        <v/>
      </c>
      <c r="M14" s="2">
        <f>IF($A14="","",MAX($K14,$L14))</f>
        <v/>
      </c>
      <c r="N14" s="6" t="inlineStr"/>
      <c r="O14" s="6" t="inlineStr">
        <is>
          <t>Middels</t>
        </is>
      </c>
      <c r="P14" s="6" t="inlineStr"/>
    </row>
    <row r="15">
      <c r="B15" s="6" t="inlineStr"/>
      <c r="C15" s="8" t="inlineStr"/>
      <c r="D15" s="7" t="inlineStr"/>
      <c r="E15" s="7" t="inlineStr"/>
      <c r="F15" s="7" t="inlineStr"/>
      <c r="G15" s="6" t="inlineStr"/>
      <c r="H15" s="6" t="inlineStr"/>
      <c r="I15" s="6" t="inlineStr"/>
      <c r="J15">
        <f>IF($I15="x","Korrekturlest",IF($H15="x","Ferdig",IF($G15="x","Mest ferdig","Ikke startet")))</f>
        <v/>
      </c>
      <c r="K15" s="2">
        <f>IF($A15="","",IFERROR(VLOOKUP($J15,Lists!$A$2:$B$6,2,FALSE),0))</f>
        <v/>
      </c>
      <c r="L15" s="2">
        <f>IF($A15="","",IFERROR(AVERAGEIF(Disposisjon!$A$2:$A$300,$A15,Disposisjon!$Q$2:$Q$300),0))</f>
        <v/>
      </c>
      <c r="M15" s="2">
        <f>IF($A15="","",MAX($K15,$L15))</f>
        <v/>
      </c>
      <c r="N15" s="6" t="inlineStr"/>
      <c r="O15" s="6" t="inlineStr">
        <is>
          <t>Middels</t>
        </is>
      </c>
      <c r="P15" s="6" t="inlineStr"/>
    </row>
    <row r="16">
      <c r="B16" s="6" t="inlineStr"/>
      <c r="C16" s="8" t="inlineStr"/>
      <c r="D16" s="7" t="inlineStr"/>
      <c r="E16" s="7" t="inlineStr"/>
      <c r="F16" s="7" t="inlineStr"/>
      <c r="G16" s="6" t="inlineStr"/>
      <c r="H16" s="6" t="inlineStr"/>
      <c r="I16" s="6" t="inlineStr"/>
      <c r="J16">
        <f>IF($I16="x","Korrekturlest",IF($H16="x","Ferdig",IF($G16="x","Mest ferdig","Ikke startet")))</f>
        <v/>
      </c>
      <c r="K16" s="2">
        <f>IF($A16="","",IFERROR(VLOOKUP($J16,Lists!$A$2:$B$6,2,FALSE),0))</f>
        <v/>
      </c>
      <c r="L16" s="2">
        <f>IF($A16="","",IFERROR(AVERAGEIF(Disposisjon!$A$2:$A$300,$A16,Disposisjon!$Q$2:$Q$300),0))</f>
        <v/>
      </c>
      <c r="M16" s="2">
        <f>IF($A16="","",MAX($K16,$L16))</f>
        <v/>
      </c>
      <c r="N16" s="6" t="inlineStr"/>
      <c r="O16" s="6" t="inlineStr">
        <is>
          <t>Middels</t>
        </is>
      </c>
      <c r="P16" s="6" t="inlineStr"/>
    </row>
    <row r="17">
      <c r="B17" s="6" t="inlineStr"/>
      <c r="C17" s="8" t="inlineStr"/>
      <c r="D17" s="7" t="inlineStr"/>
      <c r="E17" s="7" t="inlineStr"/>
      <c r="F17" s="7" t="inlineStr"/>
      <c r="G17" s="6" t="inlineStr"/>
      <c r="H17" s="6" t="inlineStr"/>
      <c r="I17" s="6" t="inlineStr"/>
      <c r="J17">
        <f>IF($I17="x","Korrekturlest",IF($H17="x","Ferdig",IF($G17="x","Mest ferdig","Ikke startet")))</f>
        <v/>
      </c>
      <c r="K17" s="2">
        <f>IF($A17="","",IFERROR(VLOOKUP($J17,Lists!$A$2:$B$6,2,FALSE),0))</f>
        <v/>
      </c>
      <c r="L17" s="2">
        <f>IF($A17="","",IFERROR(AVERAGEIF(Disposisjon!$A$2:$A$300,$A17,Disposisjon!$Q$2:$Q$300),0))</f>
        <v/>
      </c>
      <c r="M17" s="2">
        <f>IF($A17="","",MAX($K17,$L17))</f>
        <v/>
      </c>
      <c r="N17" s="6" t="inlineStr"/>
      <c r="O17" s="6" t="inlineStr">
        <is>
          <t>Middels</t>
        </is>
      </c>
      <c r="P17" s="6" t="inlineStr"/>
    </row>
    <row r="18">
      <c r="B18" s="6" t="inlineStr"/>
      <c r="C18" s="8" t="inlineStr"/>
      <c r="D18" s="7" t="inlineStr"/>
      <c r="E18" s="7" t="inlineStr"/>
      <c r="F18" s="7" t="inlineStr"/>
      <c r="G18" s="6" t="inlineStr"/>
      <c r="H18" s="6" t="inlineStr"/>
      <c r="I18" s="6" t="inlineStr"/>
      <c r="J18">
        <f>IF($I18="x","Korrekturlest",IF($H18="x","Ferdig",IF($G18="x","Mest ferdig","Ikke startet")))</f>
        <v/>
      </c>
      <c r="K18" s="2">
        <f>IF($A18="","",IFERROR(VLOOKUP($J18,Lists!$A$2:$B$6,2,FALSE),0))</f>
        <v/>
      </c>
      <c r="L18" s="2">
        <f>IF($A18="","",IFERROR(AVERAGEIF(Disposisjon!$A$2:$A$300,$A18,Disposisjon!$Q$2:$Q$300),0))</f>
        <v/>
      </c>
      <c r="M18" s="2">
        <f>IF($A18="","",MAX($K18,$L18))</f>
        <v/>
      </c>
      <c r="N18" s="6" t="inlineStr"/>
      <c r="O18" s="6" t="inlineStr">
        <is>
          <t>Middels</t>
        </is>
      </c>
      <c r="P18" s="6" t="inlineStr"/>
    </row>
    <row r="19">
      <c r="B19" s="6" t="inlineStr"/>
      <c r="C19" s="8" t="inlineStr"/>
      <c r="D19" s="7" t="inlineStr"/>
      <c r="E19" s="7" t="inlineStr"/>
      <c r="F19" s="7" t="inlineStr"/>
      <c r="G19" s="6" t="inlineStr"/>
      <c r="H19" s="6" t="inlineStr"/>
      <c r="I19" s="6" t="inlineStr"/>
      <c r="J19">
        <f>IF($I19="x","Korrekturlest",IF($H19="x","Ferdig",IF($G19="x","Mest ferdig","Ikke startet")))</f>
        <v/>
      </c>
      <c r="K19" s="2">
        <f>IF($A19="","",IFERROR(VLOOKUP($J19,Lists!$A$2:$B$6,2,FALSE),0))</f>
        <v/>
      </c>
      <c r="L19" s="2">
        <f>IF($A19="","",IFERROR(AVERAGEIF(Disposisjon!$A$2:$A$300,$A19,Disposisjon!$Q$2:$Q$300),0))</f>
        <v/>
      </c>
      <c r="M19" s="2">
        <f>IF($A19="","",MAX($K19,$L19))</f>
        <v/>
      </c>
      <c r="N19" s="6" t="inlineStr"/>
      <c r="O19" s="6" t="inlineStr">
        <is>
          <t>Middels</t>
        </is>
      </c>
      <c r="P19" s="6" t="inlineStr"/>
    </row>
    <row r="20">
      <c r="B20" s="6" t="inlineStr"/>
      <c r="C20" s="8" t="inlineStr"/>
      <c r="D20" s="7" t="inlineStr"/>
      <c r="E20" s="7" t="inlineStr"/>
      <c r="F20" s="7" t="inlineStr"/>
      <c r="G20" s="6" t="inlineStr"/>
      <c r="H20" s="6" t="inlineStr"/>
      <c r="I20" s="6" t="inlineStr"/>
      <c r="J20">
        <f>IF($I20="x","Korrekturlest",IF($H20="x","Ferdig",IF($G20="x","Mest ferdig","Ikke startet")))</f>
        <v/>
      </c>
      <c r="K20" s="2">
        <f>IF($A20="","",IFERROR(VLOOKUP($J20,Lists!$A$2:$B$6,2,FALSE),0))</f>
        <v/>
      </c>
      <c r="L20" s="2">
        <f>IF($A20="","",IFERROR(AVERAGEIF(Disposisjon!$A$2:$A$300,$A20,Disposisjon!$Q$2:$Q$300),0))</f>
        <v/>
      </c>
      <c r="M20" s="2">
        <f>IF($A20="","",MAX($K20,$L20))</f>
        <v/>
      </c>
      <c r="N20" s="6" t="inlineStr"/>
      <c r="O20" s="6" t="inlineStr">
        <is>
          <t>Middels</t>
        </is>
      </c>
      <c r="P20" s="6" t="inlineStr"/>
    </row>
    <row r="21">
      <c r="B21" s="6" t="inlineStr"/>
      <c r="C21" s="8" t="inlineStr"/>
      <c r="D21" s="7" t="inlineStr"/>
      <c r="E21" s="7" t="inlineStr"/>
      <c r="F21" s="7" t="inlineStr"/>
      <c r="G21" s="6" t="inlineStr"/>
      <c r="H21" s="6" t="inlineStr"/>
      <c r="I21" s="6" t="inlineStr"/>
      <c r="J21">
        <f>IF($I21="x","Korrekturlest",IF($H21="x","Ferdig",IF($G21="x","Mest ferdig","Ikke startet")))</f>
        <v/>
      </c>
      <c r="K21" s="2">
        <f>IF($A21="","",IFERROR(VLOOKUP($J21,Lists!$A$2:$B$6,2,FALSE),0))</f>
        <v/>
      </c>
      <c r="L21" s="2">
        <f>IF($A21="","",IFERROR(AVERAGEIF(Disposisjon!$A$2:$A$300,$A21,Disposisjon!$Q$2:$Q$300),0))</f>
        <v/>
      </c>
      <c r="M21" s="2">
        <f>IF($A21="","",MAX($K21,$L21))</f>
        <v/>
      </c>
      <c r="N21" s="6" t="inlineStr"/>
      <c r="O21" s="6" t="inlineStr">
        <is>
          <t>Middels</t>
        </is>
      </c>
      <c r="P21" s="6" t="inlineStr"/>
    </row>
    <row r="22">
      <c r="B22" s="6" t="inlineStr"/>
      <c r="C22" s="8" t="inlineStr"/>
      <c r="D22" s="7" t="inlineStr"/>
      <c r="E22" s="7" t="inlineStr"/>
      <c r="F22" s="7" t="inlineStr"/>
      <c r="G22" s="6" t="inlineStr"/>
      <c r="H22" s="6" t="inlineStr"/>
      <c r="I22" s="6" t="inlineStr"/>
      <c r="J22">
        <f>IF($I22="x","Korrekturlest",IF($H22="x","Ferdig",IF($G22="x","Mest ferdig","Ikke startet")))</f>
        <v/>
      </c>
      <c r="K22" s="2">
        <f>IF($A22="","",IFERROR(VLOOKUP($J22,Lists!$A$2:$B$6,2,FALSE),0))</f>
        <v/>
      </c>
      <c r="L22" s="2">
        <f>IF($A22="","",IFERROR(AVERAGEIF(Disposisjon!$A$2:$A$300,$A22,Disposisjon!$Q$2:$Q$300),0))</f>
        <v/>
      </c>
      <c r="M22" s="2">
        <f>IF($A22="","",MAX($K22,$L22))</f>
        <v/>
      </c>
      <c r="N22" s="6" t="inlineStr"/>
      <c r="O22" s="6" t="inlineStr">
        <is>
          <t>Middels</t>
        </is>
      </c>
      <c r="P22" s="6" t="inlineStr"/>
    </row>
    <row r="23">
      <c r="B23" s="6" t="inlineStr"/>
      <c r="C23" s="8" t="inlineStr"/>
      <c r="D23" s="7" t="inlineStr"/>
      <c r="E23" s="7" t="inlineStr"/>
      <c r="F23" s="7" t="inlineStr"/>
      <c r="G23" s="6" t="inlineStr"/>
      <c r="H23" s="6" t="inlineStr"/>
      <c r="I23" s="6" t="inlineStr"/>
      <c r="J23">
        <f>IF($I23="x","Korrekturlest",IF($H23="x","Ferdig",IF($G23="x","Mest ferdig","Ikke startet")))</f>
        <v/>
      </c>
      <c r="K23" s="2">
        <f>IF($A23="","",IFERROR(VLOOKUP($J23,Lists!$A$2:$B$6,2,FALSE),0))</f>
        <v/>
      </c>
      <c r="L23" s="2">
        <f>IF($A23="","",IFERROR(AVERAGEIF(Disposisjon!$A$2:$A$300,$A23,Disposisjon!$Q$2:$Q$300),0))</f>
        <v/>
      </c>
      <c r="M23" s="2">
        <f>IF($A23="","",MAX($K23,$L23))</f>
        <v/>
      </c>
      <c r="N23" s="6" t="inlineStr"/>
      <c r="O23" s="6" t="inlineStr">
        <is>
          <t>Middels</t>
        </is>
      </c>
      <c r="P23" s="6" t="inlineStr"/>
    </row>
    <row r="24">
      <c r="B24" s="6" t="inlineStr"/>
      <c r="C24" s="8" t="inlineStr"/>
      <c r="D24" s="7" t="inlineStr"/>
      <c r="E24" s="7" t="inlineStr"/>
      <c r="F24" s="7" t="inlineStr"/>
      <c r="G24" s="6" t="inlineStr"/>
      <c r="H24" s="6" t="inlineStr"/>
      <c r="I24" s="6" t="inlineStr"/>
      <c r="J24">
        <f>IF($I24="x","Korrekturlest",IF($H24="x","Ferdig",IF($G24="x","Mest ferdig","Ikke startet")))</f>
        <v/>
      </c>
      <c r="K24" s="2">
        <f>IF($A24="","",IFERROR(VLOOKUP($J24,Lists!$A$2:$B$6,2,FALSE),0))</f>
        <v/>
      </c>
      <c r="L24" s="2">
        <f>IF($A24="","",IFERROR(AVERAGEIF(Disposisjon!$A$2:$A$300,$A24,Disposisjon!$Q$2:$Q$300),0))</f>
        <v/>
      </c>
      <c r="M24" s="2">
        <f>IF($A24="","",MAX($K24,$L24))</f>
        <v/>
      </c>
      <c r="N24" s="6" t="inlineStr"/>
      <c r="O24" s="6" t="inlineStr">
        <is>
          <t>Middels</t>
        </is>
      </c>
      <c r="P24" s="6" t="inlineStr"/>
    </row>
    <row r="25">
      <c r="B25" s="6" t="inlineStr"/>
      <c r="C25" s="8" t="inlineStr"/>
      <c r="D25" s="7" t="inlineStr"/>
      <c r="E25" s="7" t="inlineStr"/>
      <c r="F25" s="7" t="inlineStr"/>
      <c r="G25" s="6" t="inlineStr"/>
      <c r="H25" s="6" t="inlineStr"/>
      <c r="I25" s="6" t="inlineStr"/>
      <c r="J25">
        <f>IF($I25="x","Korrekturlest",IF($H25="x","Ferdig",IF($G25="x","Mest ferdig","Ikke startet")))</f>
        <v/>
      </c>
      <c r="K25" s="2">
        <f>IF($A25="","",IFERROR(VLOOKUP($J25,Lists!$A$2:$B$6,2,FALSE),0))</f>
        <v/>
      </c>
      <c r="L25" s="2">
        <f>IF($A25="","",IFERROR(AVERAGEIF(Disposisjon!$A$2:$A$300,$A25,Disposisjon!$Q$2:$Q$300),0))</f>
        <v/>
      </c>
      <c r="M25" s="2">
        <f>IF($A25="","",MAX($K25,$L25))</f>
        <v/>
      </c>
      <c r="N25" s="6" t="inlineStr"/>
      <c r="O25" s="6" t="inlineStr">
        <is>
          <t>Middels</t>
        </is>
      </c>
      <c r="P25" s="6" t="inlineStr"/>
    </row>
    <row r="26">
      <c r="B26" s="6" t="inlineStr"/>
      <c r="C26" s="8" t="inlineStr"/>
      <c r="D26" s="7" t="inlineStr"/>
      <c r="E26" s="7" t="inlineStr"/>
      <c r="F26" s="7" t="inlineStr"/>
      <c r="G26" s="6" t="inlineStr"/>
      <c r="H26" s="6" t="inlineStr"/>
      <c r="I26" s="6" t="inlineStr"/>
      <c r="J26">
        <f>IF($I26="x","Korrekturlest",IF($H26="x","Ferdig",IF($G26="x","Mest ferdig","Ikke startet")))</f>
        <v/>
      </c>
      <c r="K26" s="2">
        <f>IF($A26="","",IFERROR(VLOOKUP($J26,Lists!$A$2:$B$6,2,FALSE),0))</f>
        <v/>
      </c>
      <c r="L26" s="2">
        <f>IF($A26="","",IFERROR(AVERAGEIF(Disposisjon!$A$2:$A$300,$A26,Disposisjon!$Q$2:$Q$300),0))</f>
        <v/>
      </c>
      <c r="M26" s="2">
        <f>IF($A26="","",MAX($K26,$L26))</f>
        <v/>
      </c>
      <c r="N26" s="6" t="inlineStr"/>
      <c r="O26" s="6" t="inlineStr">
        <is>
          <t>Middels</t>
        </is>
      </c>
      <c r="P26" s="6" t="inlineStr"/>
    </row>
    <row r="27">
      <c r="B27" s="6" t="inlineStr"/>
      <c r="C27" s="8" t="inlineStr"/>
      <c r="D27" s="7" t="inlineStr"/>
      <c r="E27" s="7" t="inlineStr"/>
      <c r="F27" s="7" t="inlineStr"/>
      <c r="G27" s="6" t="inlineStr"/>
      <c r="H27" s="6" t="inlineStr"/>
      <c r="I27" s="6" t="inlineStr"/>
      <c r="J27">
        <f>IF($I27="x","Korrekturlest",IF($H27="x","Ferdig",IF($G27="x","Mest ferdig","Ikke startet")))</f>
        <v/>
      </c>
      <c r="K27" s="2">
        <f>IF($A27="","",IFERROR(VLOOKUP($J27,Lists!$A$2:$B$6,2,FALSE),0))</f>
        <v/>
      </c>
      <c r="L27" s="2">
        <f>IF($A27="","",IFERROR(AVERAGEIF(Disposisjon!$A$2:$A$300,$A27,Disposisjon!$Q$2:$Q$300),0))</f>
        <v/>
      </c>
      <c r="M27" s="2">
        <f>IF($A27="","",MAX($K27,$L27))</f>
        <v/>
      </c>
      <c r="N27" s="6" t="inlineStr"/>
      <c r="O27" s="6" t="inlineStr">
        <is>
          <t>Middels</t>
        </is>
      </c>
      <c r="P27" s="6" t="inlineStr"/>
    </row>
    <row r="28">
      <c r="B28" s="6" t="inlineStr"/>
      <c r="C28" s="8" t="inlineStr"/>
      <c r="D28" s="7" t="inlineStr"/>
      <c r="E28" s="7" t="inlineStr"/>
      <c r="F28" s="7" t="inlineStr"/>
      <c r="G28" s="6" t="inlineStr"/>
      <c r="H28" s="6" t="inlineStr"/>
      <c r="I28" s="6" t="inlineStr"/>
      <c r="J28">
        <f>IF($I28="x","Korrekturlest",IF($H28="x","Ferdig",IF($G28="x","Mest ferdig","Ikke startet")))</f>
        <v/>
      </c>
      <c r="K28" s="2">
        <f>IF($A28="","",IFERROR(VLOOKUP($J28,Lists!$A$2:$B$6,2,FALSE),0))</f>
        <v/>
      </c>
      <c r="L28" s="2">
        <f>IF($A28="","",IFERROR(AVERAGEIF(Disposisjon!$A$2:$A$300,$A28,Disposisjon!$Q$2:$Q$300),0))</f>
        <v/>
      </c>
      <c r="M28" s="2">
        <f>IF($A28="","",MAX($K28,$L28))</f>
        <v/>
      </c>
      <c r="N28" s="6" t="inlineStr"/>
      <c r="O28" s="6" t="inlineStr">
        <is>
          <t>Middels</t>
        </is>
      </c>
      <c r="P28" s="6" t="inlineStr"/>
    </row>
    <row r="29">
      <c r="B29" s="6" t="inlineStr"/>
      <c r="C29" s="8" t="inlineStr"/>
      <c r="D29" s="7" t="inlineStr"/>
      <c r="E29" s="7" t="inlineStr"/>
      <c r="F29" s="7" t="inlineStr"/>
      <c r="G29" s="6" t="inlineStr"/>
      <c r="H29" s="6" t="inlineStr"/>
      <c r="I29" s="6" t="inlineStr"/>
      <c r="J29">
        <f>IF($I29="x","Korrekturlest",IF($H29="x","Ferdig",IF($G29="x","Mest ferdig","Ikke startet")))</f>
        <v/>
      </c>
      <c r="K29" s="2">
        <f>IF($A29="","",IFERROR(VLOOKUP($J29,Lists!$A$2:$B$6,2,FALSE),0))</f>
        <v/>
      </c>
      <c r="L29" s="2">
        <f>IF($A29="","",IFERROR(AVERAGEIF(Disposisjon!$A$2:$A$300,$A29,Disposisjon!$Q$2:$Q$300),0))</f>
        <v/>
      </c>
      <c r="M29" s="2">
        <f>IF($A29="","",MAX($K29,$L29))</f>
        <v/>
      </c>
      <c r="N29" s="6" t="inlineStr"/>
      <c r="O29" s="6" t="inlineStr">
        <is>
          <t>Middels</t>
        </is>
      </c>
      <c r="P29" s="6" t="inlineStr"/>
    </row>
    <row r="30">
      <c r="B30" s="6" t="inlineStr"/>
      <c r="C30" s="8" t="inlineStr"/>
      <c r="D30" s="7" t="inlineStr"/>
      <c r="E30" s="7" t="inlineStr"/>
      <c r="F30" s="7" t="inlineStr"/>
      <c r="G30" s="6" t="inlineStr"/>
      <c r="H30" s="6" t="inlineStr"/>
      <c r="I30" s="6" t="inlineStr"/>
      <c r="J30">
        <f>IF($I30="x","Korrekturlest",IF($H30="x","Ferdig",IF($G30="x","Mest ferdig","Ikke startet")))</f>
        <v/>
      </c>
      <c r="K30" s="2">
        <f>IF($A30="","",IFERROR(VLOOKUP($J30,Lists!$A$2:$B$6,2,FALSE),0))</f>
        <v/>
      </c>
      <c r="L30" s="2">
        <f>IF($A30="","",IFERROR(AVERAGEIF(Disposisjon!$A$2:$A$300,$A30,Disposisjon!$Q$2:$Q$300),0))</f>
        <v/>
      </c>
      <c r="M30" s="2">
        <f>IF($A30="","",MAX($K30,$L30))</f>
        <v/>
      </c>
      <c r="N30" s="6" t="inlineStr"/>
      <c r="O30" s="6" t="inlineStr">
        <is>
          <t>Middels</t>
        </is>
      </c>
      <c r="P30" s="6" t="inlineStr"/>
    </row>
    <row r="31">
      <c r="B31" s="6" t="inlineStr"/>
      <c r="C31" s="8" t="inlineStr"/>
      <c r="D31" s="7" t="inlineStr"/>
      <c r="E31" s="7" t="inlineStr"/>
      <c r="F31" s="7" t="inlineStr"/>
      <c r="G31" s="6" t="inlineStr"/>
      <c r="H31" s="6" t="inlineStr"/>
      <c r="I31" s="6" t="inlineStr"/>
      <c r="J31">
        <f>IF($I31="x","Korrekturlest",IF($H31="x","Ferdig",IF($G31="x","Mest ferdig","Ikke startet")))</f>
        <v/>
      </c>
      <c r="K31" s="2">
        <f>IF($A31="","",IFERROR(VLOOKUP($J31,Lists!$A$2:$B$6,2,FALSE),0))</f>
        <v/>
      </c>
      <c r="L31" s="2">
        <f>IF($A31="","",IFERROR(AVERAGEIF(Disposisjon!$A$2:$A$300,$A31,Disposisjon!$Q$2:$Q$300),0))</f>
        <v/>
      </c>
      <c r="M31" s="2">
        <f>IF($A31="","",MAX($K31,$L31))</f>
        <v/>
      </c>
      <c r="N31" s="6" t="inlineStr"/>
      <c r="O31" s="6" t="inlineStr">
        <is>
          <t>Middels</t>
        </is>
      </c>
      <c r="P31" s="6" t="inlineStr"/>
    </row>
    <row r="32">
      <c r="B32" s="6" t="inlineStr"/>
      <c r="C32" s="8" t="inlineStr"/>
      <c r="D32" s="7" t="inlineStr"/>
      <c r="E32" s="7" t="inlineStr"/>
      <c r="F32" s="7" t="inlineStr"/>
      <c r="G32" s="6" t="inlineStr"/>
      <c r="H32" s="6" t="inlineStr"/>
      <c r="I32" s="6" t="inlineStr"/>
      <c r="J32">
        <f>IF($I32="x","Korrekturlest",IF($H32="x","Ferdig",IF($G32="x","Mest ferdig","Ikke startet")))</f>
        <v/>
      </c>
      <c r="K32" s="2">
        <f>IF($A32="","",IFERROR(VLOOKUP($J32,Lists!$A$2:$B$6,2,FALSE),0))</f>
        <v/>
      </c>
      <c r="L32" s="2">
        <f>IF($A32="","",IFERROR(AVERAGEIF(Disposisjon!$A$2:$A$300,$A32,Disposisjon!$Q$2:$Q$300),0))</f>
        <v/>
      </c>
      <c r="M32" s="2">
        <f>IF($A32="","",MAX($K32,$L32))</f>
        <v/>
      </c>
      <c r="N32" s="6" t="inlineStr"/>
      <c r="O32" s="6" t="inlineStr">
        <is>
          <t>Middels</t>
        </is>
      </c>
      <c r="P32" s="6" t="inlineStr"/>
    </row>
    <row r="33">
      <c r="B33" s="6" t="inlineStr"/>
      <c r="C33" s="8" t="inlineStr"/>
      <c r="D33" s="7" t="inlineStr"/>
      <c r="E33" s="7" t="inlineStr"/>
      <c r="F33" s="7" t="inlineStr"/>
      <c r="G33" s="6" t="inlineStr"/>
      <c r="H33" s="6" t="inlineStr"/>
      <c r="I33" s="6" t="inlineStr"/>
      <c r="J33">
        <f>IF($I33="x","Korrekturlest",IF($H33="x","Ferdig",IF($G33="x","Mest ferdig","Ikke startet")))</f>
        <v/>
      </c>
      <c r="K33" s="2">
        <f>IF($A33="","",IFERROR(VLOOKUP($J33,Lists!$A$2:$B$6,2,FALSE),0))</f>
        <v/>
      </c>
      <c r="L33" s="2">
        <f>IF($A33="","",IFERROR(AVERAGEIF(Disposisjon!$A$2:$A$300,$A33,Disposisjon!$Q$2:$Q$300),0))</f>
        <v/>
      </c>
      <c r="M33" s="2">
        <f>IF($A33="","",MAX($K33,$L33))</f>
        <v/>
      </c>
      <c r="N33" s="6" t="inlineStr"/>
      <c r="O33" s="6" t="inlineStr">
        <is>
          <t>Middels</t>
        </is>
      </c>
      <c r="P33" s="6" t="inlineStr"/>
    </row>
    <row r="34">
      <c r="B34" s="6" t="inlineStr"/>
      <c r="C34" s="8" t="inlineStr"/>
      <c r="D34" s="7" t="inlineStr"/>
      <c r="E34" s="7" t="inlineStr"/>
      <c r="F34" s="7" t="inlineStr"/>
      <c r="G34" s="6" t="inlineStr"/>
      <c r="H34" s="6" t="inlineStr"/>
      <c r="I34" s="6" t="inlineStr"/>
      <c r="J34">
        <f>IF($I34="x","Korrekturlest",IF($H34="x","Ferdig",IF($G34="x","Mest ferdig","Ikke startet")))</f>
        <v/>
      </c>
      <c r="K34" s="2">
        <f>IF($A34="","",IFERROR(VLOOKUP($J34,Lists!$A$2:$B$6,2,FALSE),0))</f>
        <v/>
      </c>
      <c r="L34" s="2">
        <f>IF($A34="","",IFERROR(AVERAGEIF(Disposisjon!$A$2:$A$300,$A34,Disposisjon!$Q$2:$Q$300),0))</f>
        <v/>
      </c>
      <c r="M34" s="2">
        <f>IF($A34="","",MAX($K34,$L34))</f>
        <v/>
      </c>
      <c r="N34" s="6" t="inlineStr"/>
      <c r="O34" s="6" t="inlineStr">
        <is>
          <t>Middels</t>
        </is>
      </c>
      <c r="P34" s="6" t="inlineStr"/>
    </row>
    <row r="35">
      <c r="B35" s="6" t="inlineStr"/>
      <c r="C35" s="8" t="inlineStr"/>
      <c r="D35" s="7" t="inlineStr"/>
      <c r="E35" s="7" t="inlineStr"/>
      <c r="F35" s="7" t="inlineStr"/>
      <c r="G35" s="6" t="inlineStr"/>
      <c r="H35" s="6" t="inlineStr"/>
      <c r="I35" s="6" t="inlineStr"/>
      <c r="J35">
        <f>IF($I35="x","Korrekturlest",IF($H35="x","Ferdig",IF($G35="x","Mest ferdig","Ikke startet")))</f>
        <v/>
      </c>
      <c r="K35" s="2">
        <f>IF($A35="","",IFERROR(VLOOKUP($J35,Lists!$A$2:$B$6,2,FALSE),0))</f>
        <v/>
      </c>
      <c r="L35" s="2">
        <f>IF($A35="","",IFERROR(AVERAGEIF(Disposisjon!$A$2:$A$300,$A35,Disposisjon!$Q$2:$Q$300),0))</f>
        <v/>
      </c>
      <c r="M35" s="2">
        <f>IF($A35="","",MAX($K35,$L35))</f>
        <v/>
      </c>
      <c r="N35" s="6" t="inlineStr"/>
      <c r="O35" s="6" t="inlineStr">
        <is>
          <t>Middels</t>
        </is>
      </c>
      <c r="P35" s="6" t="inlineStr"/>
    </row>
    <row r="36">
      <c r="B36" s="6" t="inlineStr"/>
      <c r="C36" s="8" t="inlineStr"/>
      <c r="D36" s="7" t="inlineStr"/>
      <c r="E36" s="7" t="inlineStr"/>
      <c r="F36" s="7" t="inlineStr"/>
      <c r="G36" s="6" t="inlineStr"/>
      <c r="H36" s="6" t="inlineStr"/>
      <c r="I36" s="6" t="inlineStr"/>
      <c r="J36">
        <f>IF($I36="x","Korrekturlest",IF($H36="x","Ferdig",IF($G36="x","Mest ferdig","Ikke startet")))</f>
        <v/>
      </c>
      <c r="K36" s="2">
        <f>IF($A36="","",IFERROR(VLOOKUP($J36,Lists!$A$2:$B$6,2,FALSE),0))</f>
        <v/>
      </c>
      <c r="L36" s="2">
        <f>IF($A36="","",IFERROR(AVERAGEIF(Disposisjon!$A$2:$A$300,$A36,Disposisjon!$Q$2:$Q$300),0))</f>
        <v/>
      </c>
      <c r="M36" s="2">
        <f>IF($A36="","",MAX($K36,$L36))</f>
        <v/>
      </c>
      <c r="N36" s="6" t="inlineStr"/>
      <c r="O36" s="6" t="inlineStr">
        <is>
          <t>Middels</t>
        </is>
      </c>
      <c r="P36" s="6" t="inlineStr"/>
    </row>
    <row r="37">
      <c r="B37" s="6" t="inlineStr"/>
      <c r="C37" s="8" t="inlineStr"/>
      <c r="D37" s="7" t="inlineStr"/>
      <c r="E37" s="7" t="inlineStr"/>
      <c r="F37" s="7" t="inlineStr"/>
      <c r="G37" s="6" t="inlineStr"/>
      <c r="H37" s="6" t="inlineStr"/>
      <c r="I37" s="6" t="inlineStr"/>
      <c r="J37">
        <f>IF($I37="x","Korrekturlest",IF($H37="x","Ferdig",IF($G37="x","Mest ferdig","Ikke startet")))</f>
        <v/>
      </c>
      <c r="K37" s="2">
        <f>IF($A37="","",IFERROR(VLOOKUP($J37,Lists!$A$2:$B$6,2,FALSE),0))</f>
        <v/>
      </c>
      <c r="L37" s="2">
        <f>IF($A37="","",IFERROR(AVERAGEIF(Disposisjon!$A$2:$A$300,$A37,Disposisjon!$Q$2:$Q$300),0))</f>
        <v/>
      </c>
      <c r="M37" s="2">
        <f>IF($A37="","",MAX($K37,$L37))</f>
        <v/>
      </c>
      <c r="N37" s="6" t="inlineStr"/>
      <c r="O37" s="6" t="inlineStr">
        <is>
          <t>Middels</t>
        </is>
      </c>
      <c r="P37" s="6" t="inlineStr"/>
    </row>
    <row r="38">
      <c r="B38" s="6" t="inlineStr"/>
      <c r="C38" s="8" t="inlineStr"/>
      <c r="D38" s="7" t="inlineStr"/>
      <c r="E38" s="7" t="inlineStr"/>
      <c r="F38" s="7" t="inlineStr"/>
      <c r="G38" s="6" t="inlineStr"/>
      <c r="H38" s="6" t="inlineStr"/>
      <c r="I38" s="6" t="inlineStr"/>
      <c r="J38">
        <f>IF($I38="x","Korrekturlest",IF($H38="x","Ferdig",IF($G38="x","Mest ferdig","Ikke startet")))</f>
        <v/>
      </c>
      <c r="K38" s="2">
        <f>IF($A38="","",IFERROR(VLOOKUP($J38,Lists!$A$2:$B$6,2,FALSE),0))</f>
        <v/>
      </c>
      <c r="L38" s="2">
        <f>IF($A38="","",IFERROR(AVERAGEIF(Disposisjon!$A$2:$A$300,$A38,Disposisjon!$Q$2:$Q$300),0))</f>
        <v/>
      </c>
      <c r="M38" s="2">
        <f>IF($A38="","",MAX($K38,$L38))</f>
        <v/>
      </c>
      <c r="N38" s="6" t="inlineStr"/>
      <c r="O38" s="6" t="inlineStr">
        <is>
          <t>Middels</t>
        </is>
      </c>
      <c r="P38" s="6" t="inlineStr"/>
    </row>
    <row r="39">
      <c r="B39" s="6" t="inlineStr"/>
      <c r="C39" s="8" t="inlineStr"/>
      <c r="D39" s="7" t="inlineStr"/>
      <c r="E39" s="7" t="inlineStr"/>
      <c r="F39" s="7" t="inlineStr"/>
      <c r="G39" s="6" t="inlineStr"/>
      <c r="H39" s="6" t="inlineStr"/>
      <c r="I39" s="6" t="inlineStr"/>
      <c r="J39">
        <f>IF($I39="x","Korrekturlest",IF($H39="x","Ferdig",IF($G39="x","Mest ferdig","Ikke startet")))</f>
        <v/>
      </c>
      <c r="K39" s="2">
        <f>IF($A39="","",IFERROR(VLOOKUP($J39,Lists!$A$2:$B$6,2,FALSE),0))</f>
        <v/>
      </c>
      <c r="L39" s="2">
        <f>IF($A39="","",IFERROR(AVERAGEIF(Disposisjon!$A$2:$A$300,$A39,Disposisjon!$Q$2:$Q$300),0))</f>
        <v/>
      </c>
      <c r="M39" s="2">
        <f>IF($A39="","",MAX($K39,$L39))</f>
        <v/>
      </c>
      <c r="N39" s="6" t="inlineStr"/>
      <c r="O39" s="6" t="inlineStr">
        <is>
          <t>Middels</t>
        </is>
      </c>
      <c r="P39" s="6" t="inlineStr"/>
    </row>
    <row r="40">
      <c r="B40" s="6" t="inlineStr"/>
      <c r="C40" s="8" t="inlineStr"/>
      <c r="D40" s="7" t="inlineStr"/>
      <c r="E40" s="7" t="inlineStr"/>
      <c r="F40" s="7" t="inlineStr"/>
      <c r="G40" s="6" t="inlineStr"/>
      <c r="H40" s="6" t="inlineStr"/>
      <c r="I40" s="6" t="inlineStr"/>
      <c r="J40">
        <f>IF($I40="x","Korrekturlest",IF($H40="x","Ferdig",IF($G40="x","Mest ferdig","Ikke startet")))</f>
        <v/>
      </c>
      <c r="K40" s="2">
        <f>IF($A40="","",IFERROR(VLOOKUP($J40,Lists!$A$2:$B$6,2,FALSE),0))</f>
        <v/>
      </c>
      <c r="L40" s="2">
        <f>IF($A40="","",IFERROR(AVERAGEIF(Disposisjon!$A$2:$A$300,$A40,Disposisjon!$Q$2:$Q$300),0))</f>
        <v/>
      </c>
      <c r="M40" s="2">
        <f>IF($A40="","",MAX($K40,$L40))</f>
        <v/>
      </c>
      <c r="N40" s="6" t="inlineStr"/>
      <c r="O40" s="6" t="inlineStr">
        <is>
          <t>Middels</t>
        </is>
      </c>
      <c r="P40" s="6" t="inlineStr"/>
    </row>
    <row r="41">
      <c r="B41" s="6" t="inlineStr"/>
      <c r="C41" s="8" t="inlineStr"/>
      <c r="D41" s="7" t="inlineStr"/>
      <c r="E41" s="7" t="inlineStr"/>
      <c r="F41" s="7" t="inlineStr"/>
      <c r="G41" s="6" t="inlineStr"/>
      <c r="H41" s="6" t="inlineStr"/>
      <c r="I41" s="6" t="inlineStr"/>
      <c r="J41">
        <f>IF($I41="x","Korrekturlest",IF($H41="x","Ferdig",IF($G41="x","Mest ferdig","Ikke startet")))</f>
        <v/>
      </c>
      <c r="K41" s="2">
        <f>IF($A41="","",IFERROR(VLOOKUP($J41,Lists!$A$2:$B$6,2,FALSE),0))</f>
        <v/>
      </c>
      <c r="L41" s="2">
        <f>IF($A41="","",IFERROR(AVERAGEIF(Disposisjon!$A$2:$A$300,$A41,Disposisjon!$Q$2:$Q$300),0))</f>
        <v/>
      </c>
      <c r="M41" s="2">
        <f>IF($A41="","",MAX($K41,$L41))</f>
        <v/>
      </c>
      <c r="N41" s="6" t="inlineStr"/>
      <c r="O41" s="6" t="inlineStr">
        <is>
          <t>Middels</t>
        </is>
      </c>
      <c r="P41" s="6" t="inlineStr"/>
    </row>
    <row r="42">
      <c r="B42" s="6" t="inlineStr"/>
      <c r="C42" s="8" t="inlineStr"/>
      <c r="D42" s="7" t="inlineStr"/>
      <c r="E42" s="7" t="inlineStr"/>
      <c r="F42" s="7" t="inlineStr"/>
      <c r="G42" s="6" t="inlineStr"/>
      <c r="H42" s="6" t="inlineStr"/>
      <c r="I42" s="6" t="inlineStr"/>
      <c r="J42">
        <f>IF($I42="x","Korrekturlest",IF($H42="x","Ferdig",IF($G42="x","Mest ferdig","Ikke startet")))</f>
        <v/>
      </c>
      <c r="K42" s="2">
        <f>IF($A42="","",IFERROR(VLOOKUP($J42,Lists!$A$2:$B$6,2,FALSE),0))</f>
        <v/>
      </c>
      <c r="L42" s="2">
        <f>IF($A42="","",IFERROR(AVERAGEIF(Disposisjon!$A$2:$A$300,$A42,Disposisjon!$Q$2:$Q$300),0))</f>
        <v/>
      </c>
      <c r="M42" s="2">
        <f>IF($A42="","",MAX($K42,$L42))</f>
        <v/>
      </c>
      <c r="N42" s="6" t="inlineStr"/>
      <c r="O42" s="6" t="inlineStr">
        <is>
          <t>Middels</t>
        </is>
      </c>
      <c r="P42" s="6" t="inlineStr"/>
    </row>
    <row r="43">
      <c r="B43" s="6" t="inlineStr"/>
      <c r="C43" s="8" t="inlineStr"/>
      <c r="D43" s="7" t="inlineStr"/>
      <c r="E43" s="7" t="inlineStr"/>
      <c r="F43" s="7" t="inlineStr"/>
      <c r="G43" s="6" t="inlineStr"/>
      <c r="H43" s="6" t="inlineStr"/>
      <c r="I43" s="6" t="inlineStr"/>
      <c r="J43">
        <f>IF($I43="x","Korrekturlest",IF($H43="x","Ferdig",IF($G43="x","Mest ferdig","Ikke startet")))</f>
        <v/>
      </c>
      <c r="K43" s="2">
        <f>IF($A43="","",IFERROR(VLOOKUP($J43,Lists!$A$2:$B$6,2,FALSE),0))</f>
        <v/>
      </c>
      <c r="L43" s="2">
        <f>IF($A43="","",IFERROR(AVERAGEIF(Disposisjon!$A$2:$A$300,$A43,Disposisjon!$Q$2:$Q$300),0))</f>
        <v/>
      </c>
      <c r="M43" s="2">
        <f>IF($A43="","",MAX($K43,$L43))</f>
        <v/>
      </c>
      <c r="N43" s="6" t="inlineStr"/>
      <c r="O43" s="6" t="inlineStr">
        <is>
          <t>Middels</t>
        </is>
      </c>
      <c r="P43" s="6" t="inlineStr"/>
    </row>
    <row r="44">
      <c r="B44" s="6" t="inlineStr"/>
      <c r="C44" s="8" t="inlineStr"/>
      <c r="D44" s="7" t="inlineStr"/>
      <c r="E44" s="7" t="inlineStr"/>
      <c r="F44" s="7" t="inlineStr"/>
      <c r="G44" s="6" t="inlineStr"/>
      <c r="H44" s="6" t="inlineStr"/>
      <c r="I44" s="6" t="inlineStr"/>
      <c r="J44">
        <f>IF($I44="x","Korrekturlest",IF($H44="x","Ferdig",IF($G44="x","Mest ferdig","Ikke startet")))</f>
        <v/>
      </c>
      <c r="K44" s="2">
        <f>IF($A44="","",IFERROR(VLOOKUP($J44,Lists!$A$2:$B$6,2,FALSE),0))</f>
        <v/>
      </c>
      <c r="L44" s="2">
        <f>IF($A44="","",IFERROR(AVERAGEIF(Disposisjon!$A$2:$A$300,$A44,Disposisjon!$Q$2:$Q$300),0))</f>
        <v/>
      </c>
      <c r="M44" s="2">
        <f>IF($A44="","",MAX($K44,$L44))</f>
        <v/>
      </c>
      <c r="N44" s="6" t="inlineStr"/>
      <c r="O44" s="6" t="inlineStr">
        <is>
          <t>Middels</t>
        </is>
      </c>
      <c r="P44" s="6" t="inlineStr"/>
    </row>
    <row r="45">
      <c r="B45" s="6" t="inlineStr"/>
      <c r="C45" s="8" t="inlineStr"/>
      <c r="D45" s="7" t="inlineStr"/>
      <c r="E45" s="7" t="inlineStr"/>
      <c r="F45" s="7" t="inlineStr"/>
      <c r="G45" s="6" t="inlineStr"/>
      <c r="H45" s="6" t="inlineStr"/>
      <c r="I45" s="6" t="inlineStr"/>
      <c r="J45">
        <f>IF($I45="x","Korrekturlest",IF($H45="x","Ferdig",IF($G45="x","Mest ferdig","Ikke startet")))</f>
        <v/>
      </c>
      <c r="K45" s="2">
        <f>IF($A45="","",IFERROR(VLOOKUP($J45,Lists!$A$2:$B$6,2,FALSE),0))</f>
        <v/>
      </c>
      <c r="L45" s="2">
        <f>IF($A45="","",IFERROR(AVERAGEIF(Disposisjon!$A$2:$A$300,$A45,Disposisjon!$Q$2:$Q$300),0))</f>
        <v/>
      </c>
      <c r="M45" s="2">
        <f>IF($A45="","",MAX($K45,$L45))</f>
        <v/>
      </c>
      <c r="N45" s="6" t="inlineStr"/>
      <c r="O45" s="6" t="inlineStr">
        <is>
          <t>Middels</t>
        </is>
      </c>
      <c r="P45" s="6" t="inlineStr"/>
    </row>
    <row r="46">
      <c r="B46" s="6" t="inlineStr"/>
      <c r="C46" s="8" t="inlineStr"/>
      <c r="D46" s="7" t="inlineStr"/>
      <c r="E46" s="7" t="inlineStr"/>
      <c r="F46" s="7" t="inlineStr"/>
      <c r="G46" s="6" t="inlineStr"/>
      <c r="H46" s="6" t="inlineStr"/>
      <c r="I46" s="6" t="inlineStr"/>
      <c r="J46">
        <f>IF($I46="x","Korrekturlest",IF($H46="x","Ferdig",IF($G46="x","Mest ferdig","Ikke startet")))</f>
        <v/>
      </c>
      <c r="K46" s="2">
        <f>IF($A46="","",IFERROR(VLOOKUP($J46,Lists!$A$2:$B$6,2,FALSE),0))</f>
        <v/>
      </c>
      <c r="L46" s="2">
        <f>IF($A46="","",IFERROR(AVERAGEIF(Disposisjon!$A$2:$A$300,$A46,Disposisjon!$Q$2:$Q$300),0))</f>
        <v/>
      </c>
      <c r="M46" s="2">
        <f>IF($A46="","",MAX($K46,$L46))</f>
        <v/>
      </c>
      <c r="N46" s="6" t="inlineStr"/>
      <c r="O46" s="6" t="inlineStr">
        <is>
          <t>Middels</t>
        </is>
      </c>
      <c r="P46" s="6" t="inlineStr"/>
    </row>
    <row r="47">
      <c r="B47" s="6" t="inlineStr"/>
      <c r="C47" s="8" t="inlineStr"/>
      <c r="D47" s="7" t="inlineStr"/>
      <c r="E47" s="7" t="inlineStr"/>
      <c r="F47" s="7" t="inlineStr"/>
      <c r="G47" s="6" t="inlineStr"/>
      <c r="H47" s="6" t="inlineStr"/>
      <c r="I47" s="6" t="inlineStr"/>
      <c r="J47">
        <f>IF($I47="x","Korrekturlest",IF($H47="x","Ferdig",IF($G47="x","Mest ferdig","Ikke startet")))</f>
        <v/>
      </c>
      <c r="K47" s="2">
        <f>IF($A47="","",IFERROR(VLOOKUP($J47,Lists!$A$2:$B$6,2,FALSE),0))</f>
        <v/>
      </c>
      <c r="L47" s="2">
        <f>IF($A47="","",IFERROR(AVERAGEIF(Disposisjon!$A$2:$A$300,$A47,Disposisjon!$Q$2:$Q$300),0))</f>
        <v/>
      </c>
      <c r="M47" s="2">
        <f>IF($A47="","",MAX($K47,$L47))</f>
        <v/>
      </c>
      <c r="N47" s="6" t="inlineStr"/>
      <c r="O47" s="6" t="inlineStr">
        <is>
          <t>Middels</t>
        </is>
      </c>
      <c r="P47" s="6" t="inlineStr"/>
    </row>
    <row r="48">
      <c r="B48" s="6" t="inlineStr"/>
      <c r="C48" s="8" t="inlineStr"/>
      <c r="D48" s="7" t="inlineStr"/>
      <c r="E48" s="7" t="inlineStr"/>
      <c r="F48" s="7" t="inlineStr"/>
      <c r="G48" s="6" t="inlineStr"/>
      <c r="H48" s="6" t="inlineStr"/>
      <c r="I48" s="6" t="inlineStr"/>
      <c r="J48">
        <f>IF($I48="x","Korrekturlest",IF($H48="x","Ferdig",IF($G48="x","Mest ferdig","Ikke startet")))</f>
        <v/>
      </c>
      <c r="K48" s="2">
        <f>IF($A48="","",IFERROR(VLOOKUP($J48,Lists!$A$2:$B$6,2,FALSE),0))</f>
        <v/>
      </c>
      <c r="L48" s="2">
        <f>IF($A48="","",IFERROR(AVERAGEIF(Disposisjon!$A$2:$A$300,$A48,Disposisjon!$Q$2:$Q$300),0))</f>
        <v/>
      </c>
      <c r="M48" s="2">
        <f>IF($A48="","",MAX($K48,$L48))</f>
        <v/>
      </c>
      <c r="N48" s="6" t="inlineStr"/>
      <c r="O48" s="6" t="inlineStr">
        <is>
          <t>Middels</t>
        </is>
      </c>
      <c r="P48" s="6" t="inlineStr"/>
    </row>
    <row r="49">
      <c r="B49" s="6" t="inlineStr"/>
      <c r="C49" s="8" t="inlineStr"/>
      <c r="D49" s="7" t="inlineStr"/>
      <c r="E49" s="7" t="inlineStr"/>
      <c r="F49" s="7" t="inlineStr"/>
      <c r="G49" s="6" t="inlineStr"/>
      <c r="H49" s="6" t="inlineStr"/>
      <c r="I49" s="6" t="inlineStr"/>
      <c r="J49">
        <f>IF($I49="x","Korrekturlest",IF($H49="x","Ferdig",IF($G49="x","Mest ferdig","Ikke startet")))</f>
        <v/>
      </c>
      <c r="K49" s="2">
        <f>IF($A49="","",IFERROR(VLOOKUP($J49,Lists!$A$2:$B$6,2,FALSE),0))</f>
        <v/>
      </c>
      <c r="L49" s="2">
        <f>IF($A49="","",IFERROR(AVERAGEIF(Disposisjon!$A$2:$A$300,$A49,Disposisjon!$Q$2:$Q$300),0))</f>
        <v/>
      </c>
      <c r="M49" s="2">
        <f>IF($A49="","",MAX($K49,$L49))</f>
        <v/>
      </c>
      <c r="N49" s="6" t="inlineStr"/>
      <c r="O49" s="6" t="inlineStr">
        <is>
          <t>Middels</t>
        </is>
      </c>
      <c r="P49" s="6" t="inlineStr"/>
    </row>
    <row r="50">
      <c r="B50" s="6" t="inlineStr"/>
      <c r="C50" s="8" t="inlineStr"/>
      <c r="D50" s="7" t="inlineStr"/>
      <c r="E50" s="7" t="inlineStr"/>
      <c r="F50" s="7" t="inlineStr"/>
      <c r="G50" s="6" t="inlineStr"/>
      <c r="H50" s="6" t="inlineStr"/>
      <c r="I50" s="6" t="inlineStr"/>
      <c r="J50">
        <f>IF($I50="x","Korrekturlest",IF($H50="x","Ferdig",IF($G50="x","Mest ferdig","Ikke startet")))</f>
        <v/>
      </c>
      <c r="K50" s="2">
        <f>IF($A50="","",IFERROR(VLOOKUP($J50,Lists!$A$2:$B$6,2,FALSE),0))</f>
        <v/>
      </c>
      <c r="L50" s="2">
        <f>IF($A50="","",IFERROR(AVERAGEIF(Disposisjon!$A$2:$A$300,$A50,Disposisjon!$Q$2:$Q$300),0))</f>
        <v/>
      </c>
      <c r="M50" s="2">
        <f>IF($A50="","",MAX($K50,$L50))</f>
        <v/>
      </c>
      <c r="N50" s="6" t="inlineStr"/>
      <c r="O50" s="6" t="inlineStr">
        <is>
          <t>Middels</t>
        </is>
      </c>
      <c r="P50" s="6" t="inlineStr"/>
    </row>
  </sheetData>
  <conditionalFormatting sqref="G2:I50">
    <cfRule type="cellIs" priority="1" operator="equal" dxfId="2">
      <formula>"x"</formula>
    </cfRule>
  </conditionalFormatting>
  <conditionalFormatting sqref="A2:P50">
    <cfRule type="expression" priority="2" dxfId="0">
      <formula>=AND(E2&lt;&gt;"",E2&lt;TODAY(),NOT(OR(J2="Ferdig",J2="Korrekturlest")))</formula>
    </cfRule>
    <cfRule type="expression" priority="3" dxfId="1">
      <formula>=AND(E2&lt;&gt;"",E2&gt;=TODAY(),E2&lt;=TODAY()+7,NOT(OR(J2="Ferdig",J2="Korrekturlest")))</formula>
    </cfRule>
  </conditionalFormatting>
  <dataValidations count="2">
    <dataValidation sqref="G2:I50" showDropDown="0" showInputMessage="0" showErrorMessage="0" allowBlank="1" type="list">
      <formula1>=Lists!$D$2:$D$3</formula1>
    </dataValidation>
    <dataValidation sqref="O2:O50" showDropDown="0" showInputMessage="0" showErrorMessage="0" allowBlank="0" type="list">
      <formula1>=Lists!$F$2:$F$4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34" customWidth="1" min="4" max="4"/>
    <col width="4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0" customWidth="1" min="13" max="13"/>
    <col width="18" customWidth="1" min="14" max="14"/>
    <col width="14" customWidth="1" min="15" max="15"/>
    <col width="18" customWidth="1" min="16" max="16"/>
    <col width="12" customWidth="1" min="17" max="17"/>
    <col width="11" customWidth="1" min="18" max="18"/>
    <col width="10" customWidth="1" min="19" max="19"/>
    <col width="11" customWidth="1" min="20" max="20"/>
    <col width="18" customWidth="1" min="21" max="21"/>
    <col width="22" customWidth="1" min="22" max="22"/>
    <col width="26" customWidth="1" min="23" max="23"/>
    <col width="16" customWidth="1" min="24" max="24"/>
  </cols>
  <sheetData>
    <row r="1" ht="26" customHeight="1">
      <c r="A1" s="10" t="inlineStr">
        <is>
          <t>ChapterNo</t>
        </is>
      </c>
      <c r="B1" s="10" t="inlineStr">
        <is>
          <t>ID</t>
        </is>
      </c>
      <c r="C1" s="10" t="inlineStr">
        <is>
          <t>Nivå</t>
        </is>
      </c>
      <c r="D1" s="10" t="inlineStr">
        <is>
          <t>Tittel</t>
        </is>
      </c>
      <c r="E1" s="10" t="inlineStr">
        <is>
          <t>Innhold / nøkkelpunkter</t>
        </is>
      </c>
      <c r="F1" s="10" t="inlineStr">
        <is>
          <t>Est. ord</t>
        </is>
      </c>
      <c r="G1" s="10" t="inlineStr">
        <is>
          <t>Faktisk ord</t>
        </is>
      </c>
      <c r="H1" s="10" t="inlineStr">
        <is>
          <t>Plan start</t>
        </is>
      </c>
      <c r="I1" s="10" t="inlineStr">
        <is>
          <t>Plan frist</t>
        </is>
      </c>
      <c r="J1" s="10" t="inlineStr">
        <is>
          <t>Faktisk start</t>
        </is>
      </c>
      <c r="K1" s="10" t="inlineStr">
        <is>
          <t>Faktisk ferdig</t>
        </is>
      </c>
      <c r="L1" s="10" t="inlineStr">
        <is>
          <t>Mest ferdig (x)</t>
        </is>
      </c>
      <c r="M1" s="10" t="inlineStr">
        <is>
          <t>Ferdig (x)</t>
        </is>
      </c>
      <c r="N1" s="10" t="inlineStr">
        <is>
          <t>Korrekturlest (x)</t>
        </is>
      </c>
      <c r="O1" s="10" t="inlineStr">
        <is>
          <t>Stage</t>
        </is>
      </c>
      <c r="P1" s="10" t="inlineStr">
        <is>
          <t>Review (veileder)</t>
        </is>
      </c>
      <c r="Q1" s="10" t="inlineStr">
        <is>
          <t>Fremdrift %</t>
        </is>
      </c>
      <c r="R1" s="10" t="inlineStr">
        <is>
          <t>Dager igjen</t>
        </is>
      </c>
      <c r="S1" s="10" t="inlineStr">
        <is>
          <t>Forfalt?</t>
        </is>
      </c>
      <c r="T1" s="10" t="inlineStr">
        <is>
          <t>Prioritet</t>
        </is>
      </c>
      <c r="U1" s="10" t="inlineStr">
        <is>
          <t>Avhengigheter</t>
        </is>
      </c>
      <c r="V1" s="10" t="inlineStr">
        <is>
          <t>Lenke</t>
        </is>
      </c>
      <c r="W1" s="10" t="inlineStr">
        <is>
          <t>Notater</t>
        </is>
      </c>
      <c r="X1" s="10" t="inlineStr">
        <is>
          <t>Sist oppdatert</t>
        </is>
      </c>
    </row>
    <row r="2" ht="30" customHeight="1">
      <c r="A2" s="12" t="n">
        <v>1</v>
      </c>
      <c r="B2" s="12" t="inlineStr">
        <is>
          <t>1</t>
        </is>
      </c>
      <c r="C2" s="12" t="inlineStr">
        <is>
          <t>Kapittel</t>
        </is>
      </c>
      <c r="D2" s="12" t="inlineStr">
        <is>
          <t>Introduksjon</t>
        </is>
      </c>
      <c r="E2" s="6" t="inlineStr"/>
      <c r="F2" s="13" t="n">
        <v>3000</v>
      </c>
      <c r="G2" s="13" t="inlineStr"/>
      <c r="H2" s="14" t="inlineStr"/>
      <c r="I2" s="14" t="inlineStr"/>
      <c r="J2" s="14" t="inlineStr"/>
      <c r="K2" s="14" t="inlineStr"/>
      <c r="L2" s="12" t="inlineStr"/>
      <c r="M2" s="12" t="inlineStr"/>
      <c r="N2" s="12" t="inlineStr"/>
      <c r="O2" s="12">
        <f>IF($N2="x","Korrekturlest",IF($M2="x","Ferdig",IF($L2="x","Mest ferdig",IF($J2&lt;&gt;"","Pågår","Ikke startet"))))</f>
        <v/>
      </c>
      <c r="P2" s="12" t="inlineStr">
        <is>
          <t>Ikke sendt</t>
        </is>
      </c>
      <c r="Q2" s="15">
        <f>IFERROR(VLOOKUP($O2,Lists!$A$2:$B$6,2,FALSE),0)</f>
        <v/>
      </c>
      <c r="R2" s="16">
        <f>IF($I2="","",$I2-TODAY())</f>
        <v/>
      </c>
      <c r="S2" s="12">
        <f>IF(AND($I2&lt;&gt;"",$I2&lt;TODAY(),NOT(OR($O2="Ferdig",$O2="Korrekturlest"))),"OVERDUE","")</f>
        <v/>
      </c>
      <c r="T2" s="12" t="inlineStr">
        <is>
          <t>Middels</t>
        </is>
      </c>
      <c r="U2" s="12" t="inlineStr"/>
      <c r="V2" s="12" t="inlineStr"/>
      <c r="W2" s="12" t="inlineStr"/>
      <c r="X2" s="14" t="inlineStr"/>
    </row>
    <row r="3" ht="30" customHeight="1">
      <c r="A3" s="12" t="n">
        <v>1</v>
      </c>
      <c r="B3" s="12" t="inlineStr">
        <is>
          <t>1.1</t>
        </is>
      </c>
      <c r="C3" s="12" t="inlineStr">
        <is>
          <t>Delkapittel</t>
        </is>
      </c>
      <c r="D3" s="12" t="inlineStr">
        <is>
          <t>Bakgrunn</t>
        </is>
      </c>
      <c r="E3" s="6" t="inlineStr"/>
      <c r="F3" s="13" t="n">
        <v>800</v>
      </c>
      <c r="G3" s="13" t="inlineStr"/>
      <c r="H3" s="14" t="inlineStr"/>
      <c r="I3" s="14" t="inlineStr"/>
      <c r="J3" s="14" t="inlineStr"/>
      <c r="K3" s="14" t="inlineStr"/>
      <c r="L3" s="12" t="inlineStr"/>
      <c r="M3" s="12" t="inlineStr"/>
      <c r="N3" s="12" t="inlineStr"/>
      <c r="O3" s="12">
        <f>IF($N3="x","Korrekturlest",IF($M3="x","Ferdig",IF($L3="x","Mest ferdig",IF($J3&lt;&gt;"","Pågår","Ikke startet"))))</f>
        <v/>
      </c>
      <c r="P3" s="12" t="inlineStr">
        <is>
          <t>Ikke sendt</t>
        </is>
      </c>
      <c r="Q3" s="15">
        <f>IFERROR(VLOOKUP($O3,Lists!$A$2:$B$6,2,FALSE),0)</f>
        <v/>
      </c>
      <c r="R3" s="16">
        <f>IF($I3="","",$I3-TODAY())</f>
        <v/>
      </c>
      <c r="S3" s="12">
        <f>IF(AND($I3&lt;&gt;"",$I3&lt;TODAY(),NOT(OR($O3="Ferdig",$O3="Korrekturlest"))),"OVERDUE","")</f>
        <v/>
      </c>
      <c r="T3" s="12" t="inlineStr">
        <is>
          <t>Middels</t>
        </is>
      </c>
      <c r="U3" s="12" t="inlineStr"/>
      <c r="V3" s="12" t="inlineStr"/>
      <c r="W3" s="12" t="inlineStr"/>
      <c r="X3" s="14" t="inlineStr"/>
    </row>
    <row r="4" ht="30" customHeight="1">
      <c r="A4" s="12" t="n">
        <v>1</v>
      </c>
      <c r="B4" s="12" t="inlineStr">
        <is>
          <t>1.2</t>
        </is>
      </c>
      <c r="C4" s="12" t="inlineStr">
        <is>
          <t>Delkapittel</t>
        </is>
      </c>
      <c r="D4" s="12" t="inlineStr">
        <is>
          <t>Problemstilling og mål</t>
        </is>
      </c>
      <c r="E4" s="6" t="inlineStr"/>
      <c r="F4" s="13" t="n">
        <v>700</v>
      </c>
      <c r="G4" s="13" t="inlineStr"/>
      <c r="H4" s="14" t="inlineStr"/>
      <c r="I4" s="14" t="inlineStr"/>
      <c r="J4" s="14" t="inlineStr"/>
      <c r="K4" s="14" t="inlineStr"/>
      <c r="L4" s="12" t="inlineStr"/>
      <c r="M4" s="12" t="inlineStr"/>
      <c r="N4" s="12" t="inlineStr"/>
      <c r="O4" s="12">
        <f>IF($N4="x","Korrekturlest",IF($M4="x","Ferdig",IF($L4="x","Mest ferdig",IF($J4&lt;&gt;"","Pågår","Ikke startet"))))</f>
        <v/>
      </c>
      <c r="P4" s="12" t="inlineStr">
        <is>
          <t>Ikke sendt</t>
        </is>
      </c>
      <c r="Q4" s="15">
        <f>IFERROR(VLOOKUP($O4,Lists!$A$2:$B$6,2,FALSE),0)</f>
        <v/>
      </c>
      <c r="R4" s="16">
        <f>IF($I4="","",$I4-TODAY())</f>
        <v/>
      </c>
      <c r="S4" s="12">
        <f>IF(AND($I4&lt;&gt;"",$I4&lt;TODAY(),NOT(OR($O4="Ferdig",$O4="Korrekturlest"))),"OVERDUE","")</f>
        <v/>
      </c>
      <c r="T4" s="12" t="inlineStr">
        <is>
          <t>Middels</t>
        </is>
      </c>
      <c r="U4" s="12" t="inlineStr"/>
      <c r="V4" s="12" t="inlineStr"/>
      <c r="W4" s="12" t="inlineStr"/>
      <c r="X4" s="14" t="inlineStr"/>
    </row>
    <row r="5" ht="30" customHeight="1">
      <c r="A5" s="12" t="n">
        <v>2</v>
      </c>
      <c r="B5" s="12" t="inlineStr">
        <is>
          <t>2</t>
        </is>
      </c>
      <c r="C5" s="12" t="inlineStr">
        <is>
          <t>Kapittel</t>
        </is>
      </c>
      <c r="D5" s="12" t="inlineStr">
        <is>
          <t>Teori / Litteraturgjennomgang</t>
        </is>
      </c>
      <c r="E5" s="6" t="inlineStr"/>
      <c r="F5" s="13" t="n">
        <v>9000</v>
      </c>
      <c r="G5" s="13" t="inlineStr"/>
      <c r="H5" s="14" t="inlineStr"/>
      <c r="I5" s="14" t="inlineStr"/>
      <c r="J5" s="14" t="inlineStr"/>
      <c r="K5" s="14" t="inlineStr"/>
      <c r="L5" s="12" t="inlineStr"/>
      <c r="M5" s="12" t="inlineStr"/>
      <c r="N5" s="12" t="inlineStr"/>
      <c r="O5" s="12">
        <f>IF($N5="x","Korrekturlest",IF($M5="x","Ferdig",IF($L5="x","Mest ferdig",IF($J5&lt;&gt;"","Pågår","Ikke startet"))))</f>
        <v/>
      </c>
      <c r="P5" s="12" t="inlineStr">
        <is>
          <t>Ikke sendt</t>
        </is>
      </c>
      <c r="Q5" s="15">
        <f>IFERROR(VLOOKUP($O5,Lists!$A$2:$B$6,2,FALSE),0)</f>
        <v/>
      </c>
      <c r="R5" s="16">
        <f>IF($I5="","",$I5-TODAY())</f>
        <v/>
      </c>
      <c r="S5" s="12">
        <f>IF(AND($I5&lt;&gt;"",$I5&lt;TODAY(),NOT(OR($O5="Ferdig",$O5="Korrekturlest"))),"OVERDUE","")</f>
        <v/>
      </c>
      <c r="T5" s="12" t="inlineStr">
        <is>
          <t>Middels</t>
        </is>
      </c>
      <c r="U5" s="12" t="inlineStr"/>
      <c r="V5" s="12" t="inlineStr"/>
      <c r="W5" s="12" t="inlineStr"/>
      <c r="X5" s="14" t="inlineStr"/>
    </row>
    <row r="6" ht="30" customHeight="1">
      <c r="A6" s="12" t="n">
        <v>2</v>
      </c>
      <c r="B6" s="12" t="inlineStr">
        <is>
          <t>2.1</t>
        </is>
      </c>
      <c r="C6" s="12" t="inlineStr">
        <is>
          <t>Delkapittel</t>
        </is>
      </c>
      <c r="D6" s="12" t="inlineStr">
        <is>
          <t>Relevant teori</t>
        </is>
      </c>
      <c r="E6" s="6" t="inlineStr"/>
      <c r="F6" s="13" t="n">
        <v>3000</v>
      </c>
      <c r="G6" s="13" t="inlineStr"/>
      <c r="H6" s="14" t="inlineStr"/>
      <c r="I6" s="14" t="inlineStr"/>
      <c r="J6" s="14" t="inlineStr"/>
      <c r="K6" s="14" t="inlineStr"/>
      <c r="L6" s="12" t="inlineStr"/>
      <c r="M6" s="12" t="inlineStr"/>
      <c r="N6" s="12" t="inlineStr"/>
      <c r="O6" s="12">
        <f>IF($N6="x","Korrekturlest",IF($M6="x","Ferdig",IF($L6="x","Mest ferdig",IF($J6&lt;&gt;"","Pågår","Ikke startet"))))</f>
        <v/>
      </c>
      <c r="P6" s="12" t="inlineStr">
        <is>
          <t>Ikke sendt</t>
        </is>
      </c>
      <c r="Q6" s="15">
        <f>IFERROR(VLOOKUP($O6,Lists!$A$2:$B$6,2,FALSE),0)</f>
        <v/>
      </c>
      <c r="R6" s="16">
        <f>IF($I6="","",$I6-TODAY())</f>
        <v/>
      </c>
      <c r="S6" s="12">
        <f>IF(AND($I6&lt;&gt;"",$I6&lt;TODAY(),NOT(OR($O6="Ferdig",$O6="Korrekturlest"))),"OVERDUE","")</f>
        <v/>
      </c>
      <c r="T6" s="12" t="inlineStr">
        <is>
          <t>Middels</t>
        </is>
      </c>
      <c r="U6" s="12" t="inlineStr"/>
      <c r="V6" s="12" t="inlineStr"/>
      <c r="W6" s="12" t="inlineStr"/>
      <c r="X6" s="14" t="inlineStr"/>
    </row>
    <row r="7" ht="30" customHeight="1">
      <c r="A7" s="12" t="n">
        <v>3</v>
      </c>
      <c r="B7" s="12" t="inlineStr">
        <is>
          <t>3</t>
        </is>
      </c>
      <c r="C7" s="12" t="inlineStr">
        <is>
          <t>Kapittel</t>
        </is>
      </c>
      <c r="D7" s="12" t="inlineStr">
        <is>
          <t>Metode</t>
        </is>
      </c>
      <c r="E7" s="6" t="inlineStr"/>
      <c r="F7" s="13" t="n">
        <v>7000</v>
      </c>
      <c r="G7" s="13" t="inlineStr"/>
      <c r="H7" s="14" t="inlineStr"/>
      <c r="I7" s="14" t="inlineStr"/>
      <c r="J7" s="14" t="inlineStr"/>
      <c r="K7" s="14" t="inlineStr"/>
      <c r="L7" s="12" t="inlineStr"/>
      <c r="M7" s="12" t="inlineStr"/>
      <c r="N7" s="12" t="inlineStr"/>
      <c r="O7" s="12">
        <f>IF($N7="x","Korrekturlest",IF($M7="x","Ferdig",IF($L7="x","Mest ferdig",IF($J7&lt;&gt;"","Pågår","Ikke startet"))))</f>
        <v/>
      </c>
      <c r="P7" s="12" t="inlineStr">
        <is>
          <t>Ikke sendt</t>
        </is>
      </c>
      <c r="Q7" s="15">
        <f>IFERROR(VLOOKUP($O7,Lists!$A$2:$B$6,2,FALSE),0)</f>
        <v/>
      </c>
      <c r="R7" s="16">
        <f>IF($I7="","",$I7-TODAY())</f>
        <v/>
      </c>
      <c r="S7" s="12">
        <f>IF(AND($I7&lt;&gt;"",$I7&lt;TODAY(),NOT(OR($O7="Ferdig",$O7="Korrekturlest"))),"OVERDUE","")</f>
        <v/>
      </c>
      <c r="T7" s="12" t="inlineStr">
        <is>
          <t>Middels</t>
        </is>
      </c>
      <c r="U7" s="12" t="inlineStr"/>
      <c r="V7" s="12" t="inlineStr"/>
      <c r="W7" s="12" t="inlineStr"/>
      <c r="X7" s="14" t="inlineStr"/>
    </row>
    <row r="8" ht="20" customHeight="1">
      <c r="A8" s="12" t="inlineStr"/>
      <c r="B8" s="12" t="inlineStr"/>
      <c r="C8" s="12" t="inlineStr"/>
      <c r="D8" s="12" t="inlineStr"/>
      <c r="E8" s="6" t="inlineStr"/>
      <c r="F8" s="13" t="inlineStr"/>
      <c r="G8" s="13" t="inlineStr"/>
      <c r="H8" s="14" t="inlineStr"/>
      <c r="I8" s="14" t="inlineStr"/>
      <c r="J8" s="14" t="inlineStr"/>
      <c r="K8" s="14" t="inlineStr"/>
      <c r="L8" s="12" t="inlineStr"/>
      <c r="M8" s="12" t="inlineStr"/>
      <c r="N8" s="12" t="inlineStr"/>
      <c r="O8" s="12">
        <f>IF($N8="x","Korrekturlest",IF($M8="x","Ferdig",IF($L8="x","Mest ferdig",IF($J8&lt;&gt;"","Pågår","Ikke startet"))))</f>
        <v/>
      </c>
      <c r="P8" s="12" t="inlineStr">
        <is>
          <t>Ikke sendt</t>
        </is>
      </c>
      <c r="Q8" s="15">
        <f>IF($D8="","",IFERROR(VLOOKUP($O8,Lists!$A$2:$B$6,2,FALSE),0))</f>
        <v/>
      </c>
      <c r="R8" s="16">
        <f>IF($I8="","",$I8-TODAY())</f>
        <v/>
      </c>
      <c r="S8" s="12">
        <f>IF(AND($I8&lt;&gt;"",$I8&lt;TODAY(),NOT(OR($O8="Ferdig",$O8="Korrekturlest"))),"OVERDUE","")</f>
        <v/>
      </c>
      <c r="T8" s="12" t="inlineStr">
        <is>
          <t>Middels</t>
        </is>
      </c>
      <c r="U8" s="12" t="inlineStr"/>
      <c r="V8" s="12" t="inlineStr"/>
      <c r="W8" s="12" t="inlineStr"/>
      <c r="X8" s="14" t="inlineStr"/>
    </row>
    <row r="9" ht="20" customHeight="1">
      <c r="A9" s="12" t="inlineStr"/>
      <c r="B9" s="12" t="inlineStr"/>
      <c r="C9" s="12" t="inlineStr"/>
      <c r="D9" s="12" t="inlineStr"/>
      <c r="E9" s="6" t="inlineStr"/>
      <c r="F9" s="13" t="inlineStr"/>
      <c r="G9" s="13" t="inlineStr"/>
      <c r="H9" s="14" t="inlineStr"/>
      <c r="I9" s="14" t="inlineStr"/>
      <c r="J9" s="14" t="inlineStr"/>
      <c r="K9" s="14" t="inlineStr"/>
      <c r="L9" s="12" t="inlineStr"/>
      <c r="M9" s="12" t="inlineStr"/>
      <c r="N9" s="12" t="inlineStr"/>
      <c r="O9" s="12">
        <f>IF($N9="x","Korrekturlest",IF($M9="x","Ferdig",IF($L9="x","Mest ferdig",IF($J9&lt;&gt;"","Pågår","Ikke startet"))))</f>
        <v/>
      </c>
      <c r="P9" s="12" t="inlineStr">
        <is>
          <t>Ikke sendt</t>
        </is>
      </c>
      <c r="Q9" s="15">
        <f>IF($D9="","",IFERROR(VLOOKUP($O9,Lists!$A$2:$B$6,2,FALSE),0))</f>
        <v/>
      </c>
      <c r="R9" s="16">
        <f>IF($I9="","",$I9-TODAY())</f>
        <v/>
      </c>
      <c r="S9" s="12">
        <f>IF(AND($I9&lt;&gt;"",$I9&lt;TODAY(),NOT(OR($O9="Ferdig",$O9="Korrekturlest"))),"OVERDUE","")</f>
        <v/>
      </c>
      <c r="T9" s="12" t="inlineStr">
        <is>
          <t>Middels</t>
        </is>
      </c>
      <c r="U9" s="12" t="inlineStr"/>
      <c r="V9" s="12" t="inlineStr"/>
      <c r="W9" s="12" t="inlineStr"/>
      <c r="X9" s="14" t="inlineStr"/>
    </row>
    <row r="10" ht="20" customHeight="1">
      <c r="A10" s="12" t="inlineStr"/>
      <c r="B10" s="12" t="inlineStr"/>
      <c r="C10" s="12" t="inlineStr"/>
      <c r="D10" s="12" t="inlineStr"/>
      <c r="E10" s="6" t="inlineStr"/>
      <c r="F10" s="13" t="inlineStr"/>
      <c r="G10" s="13" t="inlineStr"/>
      <c r="H10" s="14" t="inlineStr"/>
      <c r="I10" s="14" t="inlineStr"/>
      <c r="J10" s="14" t="inlineStr"/>
      <c r="K10" s="14" t="inlineStr"/>
      <c r="L10" s="12" t="inlineStr"/>
      <c r="M10" s="12" t="inlineStr"/>
      <c r="N10" s="12" t="inlineStr"/>
      <c r="O10" s="12">
        <f>IF($N10="x","Korrekturlest",IF($M10="x","Ferdig",IF($L10="x","Mest ferdig",IF($J10&lt;&gt;"","Pågår","Ikke startet"))))</f>
        <v/>
      </c>
      <c r="P10" s="12" t="inlineStr">
        <is>
          <t>Ikke sendt</t>
        </is>
      </c>
      <c r="Q10" s="15">
        <f>IF($D10="","",IFERROR(VLOOKUP($O10,Lists!$A$2:$B$6,2,FALSE),0))</f>
        <v/>
      </c>
      <c r="R10" s="16">
        <f>IF($I10="","",$I10-TODAY())</f>
        <v/>
      </c>
      <c r="S10" s="12">
        <f>IF(AND($I10&lt;&gt;"",$I10&lt;TODAY(),NOT(OR($O10="Ferdig",$O10="Korrekturlest"))),"OVERDUE","")</f>
        <v/>
      </c>
      <c r="T10" s="12" t="inlineStr">
        <is>
          <t>Middels</t>
        </is>
      </c>
      <c r="U10" s="12" t="inlineStr"/>
      <c r="V10" s="12" t="inlineStr"/>
      <c r="W10" s="12" t="inlineStr"/>
      <c r="X10" s="14" t="inlineStr"/>
    </row>
    <row r="11" ht="20" customHeight="1">
      <c r="A11" s="12" t="inlineStr"/>
      <c r="B11" s="12" t="inlineStr"/>
      <c r="C11" s="12" t="inlineStr"/>
      <c r="D11" s="12" t="inlineStr"/>
      <c r="E11" s="6" t="inlineStr"/>
      <c r="F11" s="13" t="inlineStr"/>
      <c r="G11" s="13" t="inlineStr"/>
      <c r="H11" s="14" t="inlineStr"/>
      <c r="I11" s="14" t="inlineStr"/>
      <c r="J11" s="14" t="inlineStr"/>
      <c r="K11" s="14" t="inlineStr"/>
      <c r="L11" s="12" t="inlineStr"/>
      <c r="M11" s="12" t="inlineStr"/>
      <c r="N11" s="12" t="inlineStr"/>
      <c r="O11" s="12">
        <f>IF($N11="x","Korrekturlest",IF($M11="x","Ferdig",IF($L11="x","Mest ferdig",IF($J11&lt;&gt;"","Pågår","Ikke startet"))))</f>
        <v/>
      </c>
      <c r="P11" s="12" t="inlineStr">
        <is>
          <t>Ikke sendt</t>
        </is>
      </c>
      <c r="Q11" s="15">
        <f>IF($D11="","",IFERROR(VLOOKUP($O11,Lists!$A$2:$B$6,2,FALSE),0))</f>
        <v/>
      </c>
      <c r="R11" s="16">
        <f>IF($I11="","",$I11-TODAY())</f>
        <v/>
      </c>
      <c r="S11" s="12">
        <f>IF(AND($I11&lt;&gt;"",$I11&lt;TODAY(),NOT(OR($O11="Ferdig",$O11="Korrekturlest"))),"OVERDUE","")</f>
        <v/>
      </c>
      <c r="T11" s="12" t="inlineStr">
        <is>
          <t>Middels</t>
        </is>
      </c>
      <c r="U11" s="12" t="inlineStr"/>
      <c r="V11" s="12" t="inlineStr"/>
      <c r="W11" s="12" t="inlineStr"/>
      <c r="X11" s="14" t="inlineStr"/>
    </row>
    <row r="12" ht="20" customHeight="1">
      <c r="A12" s="12" t="inlineStr"/>
      <c r="B12" s="12" t="inlineStr"/>
      <c r="C12" s="12" t="inlineStr"/>
      <c r="D12" s="12" t="inlineStr"/>
      <c r="E12" s="6" t="inlineStr"/>
      <c r="F12" s="13" t="inlineStr"/>
      <c r="G12" s="13" t="inlineStr"/>
      <c r="H12" s="14" t="inlineStr"/>
      <c r="I12" s="14" t="inlineStr"/>
      <c r="J12" s="14" t="inlineStr"/>
      <c r="K12" s="14" t="inlineStr"/>
      <c r="L12" s="12" t="inlineStr"/>
      <c r="M12" s="12" t="inlineStr"/>
      <c r="N12" s="12" t="inlineStr"/>
      <c r="O12" s="12">
        <f>IF($N12="x","Korrekturlest",IF($M12="x","Ferdig",IF($L12="x","Mest ferdig",IF($J12&lt;&gt;"","Pågår","Ikke startet"))))</f>
        <v/>
      </c>
      <c r="P12" s="12" t="inlineStr">
        <is>
          <t>Ikke sendt</t>
        </is>
      </c>
      <c r="Q12" s="15">
        <f>IF($D12="","",IFERROR(VLOOKUP($O12,Lists!$A$2:$B$6,2,FALSE),0))</f>
        <v/>
      </c>
      <c r="R12" s="16">
        <f>IF($I12="","",$I12-TODAY())</f>
        <v/>
      </c>
      <c r="S12" s="12">
        <f>IF(AND($I12&lt;&gt;"",$I12&lt;TODAY(),NOT(OR($O12="Ferdig",$O12="Korrekturlest"))),"OVERDUE","")</f>
        <v/>
      </c>
      <c r="T12" s="12" t="inlineStr">
        <is>
          <t>Middels</t>
        </is>
      </c>
      <c r="U12" s="12" t="inlineStr"/>
      <c r="V12" s="12" t="inlineStr"/>
      <c r="W12" s="12" t="inlineStr"/>
      <c r="X12" s="14" t="inlineStr"/>
    </row>
    <row r="13" ht="20" customHeight="1">
      <c r="A13" s="12" t="inlineStr"/>
      <c r="B13" s="12" t="inlineStr"/>
      <c r="C13" s="12" t="inlineStr"/>
      <c r="D13" s="12" t="inlineStr"/>
      <c r="E13" s="6" t="inlineStr"/>
      <c r="F13" s="13" t="inlineStr"/>
      <c r="G13" s="13" t="inlineStr"/>
      <c r="H13" s="14" t="inlineStr"/>
      <c r="I13" s="14" t="inlineStr"/>
      <c r="J13" s="14" t="inlineStr"/>
      <c r="K13" s="14" t="inlineStr"/>
      <c r="L13" s="12" t="inlineStr"/>
      <c r="M13" s="12" t="inlineStr"/>
      <c r="N13" s="12" t="inlineStr"/>
      <c r="O13" s="12">
        <f>IF($N13="x","Korrekturlest",IF($M13="x","Ferdig",IF($L13="x","Mest ferdig",IF($J13&lt;&gt;"","Pågår","Ikke startet"))))</f>
        <v/>
      </c>
      <c r="P13" s="12" t="inlineStr">
        <is>
          <t>Ikke sendt</t>
        </is>
      </c>
      <c r="Q13" s="15">
        <f>IF($D13="","",IFERROR(VLOOKUP($O13,Lists!$A$2:$B$6,2,FALSE),0))</f>
        <v/>
      </c>
      <c r="R13" s="16">
        <f>IF($I13="","",$I13-TODAY())</f>
        <v/>
      </c>
      <c r="S13" s="12">
        <f>IF(AND($I13&lt;&gt;"",$I13&lt;TODAY(),NOT(OR($O13="Ferdig",$O13="Korrekturlest"))),"OVERDUE","")</f>
        <v/>
      </c>
      <c r="T13" s="12" t="inlineStr">
        <is>
          <t>Middels</t>
        </is>
      </c>
      <c r="U13" s="12" t="inlineStr"/>
      <c r="V13" s="12" t="inlineStr"/>
      <c r="W13" s="12" t="inlineStr"/>
      <c r="X13" s="14" t="inlineStr"/>
    </row>
    <row r="14" ht="20" customHeight="1">
      <c r="A14" s="12" t="inlineStr"/>
      <c r="B14" s="12" t="inlineStr"/>
      <c r="C14" s="12" t="inlineStr"/>
      <c r="D14" s="12" t="inlineStr"/>
      <c r="E14" s="6" t="inlineStr"/>
      <c r="F14" s="13" t="inlineStr"/>
      <c r="G14" s="13" t="inlineStr"/>
      <c r="H14" s="14" t="inlineStr"/>
      <c r="I14" s="14" t="inlineStr"/>
      <c r="J14" s="14" t="inlineStr"/>
      <c r="K14" s="14" t="inlineStr"/>
      <c r="L14" s="12" t="inlineStr"/>
      <c r="M14" s="12" t="inlineStr"/>
      <c r="N14" s="12" t="inlineStr"/>
      <c r="O14" s="12">
        <f>IF($N14="x","Korrekturlest",IF($M14="x","Ferdig",IF($L14="x","Mest ferdig",IF($J14&lt;&gt;"","Pågår","Ikke startet"))))</f>
        <v/>
      </c>
      <c r="P14" s="12" t="inlineStr">
        <is>
          <t>Ikke sendt</t>
        </is>
      </c>
      <c r="Q14" s="15">
        <f>IF($D14="","",IFERROR(VLOOKUP($O14,Lists!$A$2:$B$6,2,FALSE),0))</f>
        <v/>
      </c>
      <c r="R14" s="16">
        <f>IF($I14="","",$I14-TODAY())</f>
        <v/>
      </c>
      <c r="S14" s="12">
        <f>IF(AND($I14&lt;&gt;"",$I14&lt;TODAY(),NOT(OR($O14="Ferdig",$O14="Korrekturlest"))),"OVERDUE","")</f>
        <v/>
      </c>
      <c r="T14" s="12" t="inlineStr">
        <is>
          <t>Middels</t>
        </is>
      </c>
      <c r="U14" s="12" t="inlineStr"/>
      <c r="V14" s="12" t="inlineStr"/>
      <c r="W14" s="12" t="inlineStr"/>
      <c r="X14" s="14" t="inlineStr"/>
    </row>
    <row r="15" ht="20" customHeight="1">
      <c r="A15" s="12" t="inlineStr"/>
      <c r="B15" s="12" t="inlineStr"/>
      <c r="C15" s="12" t="inlineStr"/>
      <c r="D15" s="12" t="inlineStr"/>
      <c r="E15" s="6" t="inlineStr"/>
      <c r="F15" s="13" t="inlineStr"/>
      <c r="G15" s="13" t="inlineStr"/>
      <c r="H15" s="14" t="inlineStr"/>
      <c r="I15" s="14" t="inlineStr"/>
      <c r="J15" s="14" t="inlineStr"/>
      <c r="K15" s="14" t="inlineStr"/>
      <c r="L15" s="12" t="inlineStr"/>
      <c r="M15" s="12" t="inlineStr"/>
      <c r="N15" s="12" t="inlineStr"/>
      <c r="O15" s="12">
        <f>IF($N15="x","Korrekturlest",IF($M15="x","Ferdig",IF($L15="x","Mest ferdig",IF($J15&lt;&gt;"","Pågår","Ikke startet"))))</f>
        <v/>
      </c>
      <c r="P15" s="12" t="inlineStr">
        <is>
          <t>Ikke sendt</t>
        </is>
      </c>
      <c r="Q15" s="15">
        <f>IF($D15="","",IFERROR(VLOOKUP($O15,Lists!$A$2:$B$6,2,FALSE),0))</f>
        <v/>
      </c>
      <c r="R15" s="16">
        <f>IF($I15="","",$I15-TODAY())</f>
        <v/>
      </c>
      <c r="S15" s="12">
        <f>IF(AND($I15&lt;&gt;"",$I15&lt;TODAY(),NOT(OR($O15="Ferdig",$O15="Korrekturlest"))),"OVERDUE","")</f>
        <v/>
      </c>
      <c r="T15" s="12" t="inlineStr">
        <is>
          <t>Middels</t>
        </is>
      </c>
      <c r="U15" s="12" t="inlineStr"/>
      <c r="V15" s="12" t="inlineStr"/>
      <c r="W15" s="12" t="inlineStr"/>
      <c r="X15" s="14" t="inlineStr"/>
    </row>
    <row r="16" ht="20" customHeight="1">
      <c r="A16" s="12" t="inlineStr"/>
      <c r="B16" s="12" t="inlineStr"/>
      <c r="C16" s="12" t="inlineStr"/>
      <c r="D16" s="12" t="inlineStr"/>
      <c r="E16" s="6" t="inlineStr"/>
      <c r="F16" s="13" t="inlineStr"/>
      <c r="G16" s="13" t="inlineStr"/>
      <c r="H16" s="14" t="inlineStr"/>
      <c r="I16" s="14" t="inlineStr"/>
      <c r="J16" s="14" t="inlineStr"/>
      <c r="K16" s="14" t="inlineStr"/>
      <c r="L16" s="12" t="inlineStr"/>
      <c r="M16" s="12" t="inlineStr"/>
      <c r="N16" s="12" t="inlineStr"/>
      <c r="O16" s="12">
        <f>IF($N16="x","Korrekturlest",IF($M16="x","Ferdig",IF($L16="x","Mest ferdig",IF($J16&lt;&gt;"","Pågår","Ikke startet"))))</f>
        <v/>
      </c>
      <c r="P16" s="12" t="inlineStr">
        <is>
          <t>Ikke sendt</t>
        </is>
      </c>
      <c r="Q16" s="15">
        <f>IF($D16="","",IFERROR(VLOOKUP($O16,Lists!$A$2:$B$6,2,FALSE),0))</f>
        <v/>
      </c>
      <c r="R16" s="16">
        <f>IF($I16="","",$I16-TODAY())</f>
        <v/>
      </c>
      <c r="S16" s="12">
        <f>IF(AND($I16&lt;&gt;"",$I16&lt;TODAY(),NOT(OR($O16="Ferdig",$O16="Korrekturlest"))),"OVERDUE","")</f>
        <v/>
      </c>
      <c r="T16" s="12" t="inlineStr">
        <is>
          <t>Middels</t>
        </is>
      </c>
      <c r="U16" s="12" t="inlineStr"/>
      <c r="V16" s="12" t="inlineStr"/>
      <c r="W16" s="12" t="inlineStr"/>
      <c r="X16" s="14" t="inlineStr"/>
    </row>
    <row r="17" ht="20" customHeight="1">
      <c r="A17" s="12" t="inlineStr"/>
      <c r="B17" s="12" t="inlineStr"/>
      <c r="C17" s="12" t="inlineStr"/>
      <c r="D17" s="12" t="inlineStr"/>
      <c r="E17" s="6" t="inlineStr"/>
      <c r="F17" s="13" t="inlineStr"/>
      <c r="G17" s="13" t="inlineStr"/>
      <c r="H17" s="14" t="inlineStr"/>
      <c r="I17" s="14" t="inlineStr"/>
      <c r="J17" s="14" t="inlineStr"/>
      <c r="K17" s="14" t="inlineStr"/>
      <c r="L17" s="12" t="inlineStr"/>
      <c r="M17" s="12" t="inlineStr"/>
      <c r="N17" s="12" t="inlineStr"/>
      <c r="O17" s="12">
        <f>IF($N17="x","Korrekturlest",IF($M17="x","Ferdig",IF($L17="x","Mest ferdig",IF($J17&lt;&gt;"","Pågår","Ikke startet"))))</f>
        <v/>
      </c>
      <c r="P17" s="12" t="inlineStr">
        <is>
          <t>Ikke sendt</t>
        </is>
      </c>
      <c r="Q17" s="15">
        <f>IF($D17="","",IFERROR(VLOOKUP($O17,Lists!$A$2:$B$6,2,FALSE),0))</f>
        <v/>
      </c>
      <c r="R17" s="16">
        <f>IF($I17="","",$I17-TODAY())</f>
        <v/>
      </c>
      <c r="S17" s="12">
        <f>IF(AND($I17&lt;&gt;"",$I17&lt;TODAY(),NOT(OR($O17="Ferdig",$O17="Korrekturlest"))),"OVERDUE","")</f>
        <v/>
      </c>
      <c r="T17" s="12" t="inlineStr">
        <is>
          <t>Middels</t>
        </is>
      </c>
      <c r="U17" s="12" t="inlineStr"/>
      <c r="V17" s="12" t="inlineStr"/>
      <c r="W17" s="12" t="inlineStr"/>
      <c r="X17" s="14" t="inlineStr"/>
    </row>
    <row r="18" ht="20" customHeight="1">
      <c r="A18" s="12" t="inlineStr"/>
      <c r="B18" s="12" t="inlineStr"/>
      <c r="C18" s="12" t="inlineStr"/>
      <c r="D18" s="12" t="inlineStr"/>
      <c r="E18" s="6" t="inlineStr"/>
      <c r="F18" s="13" t="inlineStr"/>
      <c r="G18" s="13" t="inlineStr"/>
      <c r="H18" s="14" t="inlineStr"/>
      <c r="I18" s="14" t="inlineStr"/>
      <c r="J18" s="14" t="inlineStr"/>
      <c r="K18" s="14" t="inlineStr"/>
      <c r="L18" s="12" t="inlineStr"/>
      <c r="M18" s="12" t="inlineStr"/>
      <c r="N18" s="12" t="inlineStr"/>
      <c r="O18" s="12">
        <f>IF($N18="x","Korrekturlest",IF($M18="x","Ferdig",IF($L18="x","Mest ferdig",IF($J18&lt;&gt;"","Pågår","Ikke startet"))))</f>
        <v/>
      </c>
      <c r="P18" s="12" t="inlineStr">
        <is>
          <t>Ikke sendt</t>
        </is>
      </c>
      <c r="Q18" s="15">
        <f>IF($D18="","",IFERROR(VLOOKUP($O18,Lists!$A$2:$B$6,2,FALSE),0))</f>
        <v/>
      </c>
      <c r="R18" s="16">
        <f>IF($I18="","",$I18-TODAY())</f>
        <v/>
      </c>
      <c r="S18" s="12">
        <f>IF(AND($I18&lt;&gt;"",$I18&lt;TODAY(),NOT(OR($O18="Ferdig",$O18="Korrekturlest"))),"OVERDUE","")</f>
        <v/>
      </c>
      <c r="T18" s="12" t="inlineStr">
        <is>
          <t>Middels</t>
        </is>
      </c>
      <c r="U18" s="12" t="inlineStr"/>
      <c r="V18" s="12" t="inlineStr"/>
      <c r="W18" s="12" t="inlineStr"/>
      <c r="X18" s="14" t="inlineStr"/>
    </row>
    <row r="19" ht="20" customHeight="1">
      <c r="A19" s="12" t="inlineStr"/>
      <c r="B19" s="12" t="inlineStr"/>
      <c r="C19" s="12" t="inlineStr"/>
      <c r="D19" s="12" t="inlineStr"/>
      <c r="E19" s="6" t="inlineStr"/>
      <c r="F19" s="13" t="inlineStr"/>
      <c r="G19" s="13" t="inlineStr"/>
      <c r="H19" s="14" t="inlineStr"/>
      <c r="I19" s="14" t="inlineStr"/>
      <c r="J19" s="14" t="inlineStr"/>
      <c r="K19" s="14" t="inlineStr"/>
      <c r="L19" s="12" t="inlineStr"/>
      <c r="M19" s="12" t="inlineStr"/>
      <c r="N19" s="12" t="inlineStr"/>
      <c r="O19" s="12">
        <f>IF($N19="x","Korrekturlest",IF($M19="x","Ferdig",IF($L19="x","Mest ferdig",IF($J19&lt;&gt;"","Pågår","Ikke startet"))))</f>
        <v/>
      </c>
      <c r="P19" s="12" t="inlineStr">
        <is>
          <t>Ikke sendt</t>
        </is>
      </c>
      <c r="Q19" s="15">
        <f>IF($D19="","",IFERROR(VLOOKUP($O19,Lists!$A$2:$B$6,2,FALSE),0))</f>
        <v/>
      </c>
      <c r="R19" s="16">
        <f>IF($I19="","",$I19-TODAY())</f>
        <v/>
      </c>
      <c r="S19" s="12">
        <f>IF(AND($I19&lt;&gt;"",$I19&lt;TODAY(),NOT(OR($O19="Ferdig",$O19="Korrekturlest"))),"OVERDUE","")</f>
        <v/>
      </c>
      <c r="T19" s="12" t="inlineStr">
        <is>
          <t>Middels</t>
        </is>
      </c>
      <c r="U19" s="12" t="inlineStr"/>
      <c r="V19" s="12" t="inlineStr"/>
      <c r="W19" s="12" t="inlineStr"/>
      <c r="X19" s="14" t="inlineStr"/>
    </row>
    <row r="20" ht="20" customHeight="1">
      <c r="A20" s="12" t="inlineStr"/>
      <c r="B20" s="12" t="inlineStr"/>
      <c r="C20" s="12" t="inlineStr"/>
      <c r="D20" s="12" t="inlineStr"/>
      <c r="E20" s="6" t="inlineStr"/>
      <c r="F20" s="13" t="inlineStr"/>
      <c r="G20" s="13" t="inlineStr"/>
      <c r="H20" s="14" t="inlineStr"/>
      <c r="I20" s="14" t="inlineStr"/>
      <c r="J20" s="14" t="inlineStr"/>
      <c r="K20" s="14" t="inlineStr"/>
      <c r="L20" s="12" t="inlineStr"/>
      <c r="M20" s="12" t="inlineStr"/>
      <c r="N20" s="12" t="inlineStr"/>
      <c r="O20" s="12">
        <f>IF($N20="x","Korrekturlest",IF($M20="x","Ferdig",IF($L20="x","Mest ferdig",IF($J20&lt;&gt;"","Pågår","Ikke startet"))))</f>
        <v/>
      </c>
      <c r="P20" s="12" t="inlineStr">
        <is>
          <t>Ikke sendt</t>
        </is>
      </c>
      <c r="Q20" s="15">
        <f>IF($D20="","",IFERROR(VLOOKUP($O20,Lists!$A$2:$B$6,2,FALSE),0))</f>
        <v/>
      </c>
      <c r="R20" s="16">
        <f>IF($I20="","",$I20-TODAY())</f>
        <v/>
      </c>
      <c r="S20" s="12">
        <f>IF(AND($I20&lt;&gt;"",$I20&lt;TODAY(),NOT(OR($O20="Ferdig",$O20="Korrekturlest"))),"OVERDUE","")</f>
        <v/>
      </c>
      <c r="T20" s="12" t="inlineStr">
        <is>
          <t>Middels</t>
        </is>
      </c>
      <c r="U20" s="12" t="inlineStr"/>
      <c r="V20" s="12" t="inlineStr"/>
      <c r="W20" s="12" t="inlineStr"/>
      <c r="X20" s="14" t="inlineStr"/>
    </row>
    <row r="21" ht="20" customHeight="1">
      <c r="A21" s="12" t="inlineStr"/>
      <c r="B21" s="12" t="inlineStr"/>
      <c r="C21" s="12" t="inlineStr"/>
      <c r="D21" s="12" t="inlineStr"/>
      <c r="E21" s="6" t="inlineStr"/>
      <c r="F21" s="13" t="inlineStr"/>
      <c r="G21" s="13" t="inlineStr"/>
      <c r="H21" s="14" t="inlineStr"/>
      <c r="I21" s="14" t="inlineStr"/>
      <c r="J21" s="14" t="inlineStr"/>
      <c r="K21" s="14" t="inlineStr"/>
      <c r="L21" s="12" t="inlineStr"/>
      <c r="M21" s="12" t="inlineStr"/>
      <c r="N21" s="12" t="inlineStr"/>
      <c r="O21" s="12">
        <f>IF($N21="x","Korrekturlest",IF($M21="x","Ferdig",IF($L21="x","Mest ferdig",IF($J21&lt;&gt;"","Pågår","Ikke startet"))))</f>
        <v/>
      </c>
      <c r="P21" s="12" t="inlineStr">
        <is>
          <t>Ikke sendt</t>
        </is>
      </c>
      <c r="Q21" s="15">
        <f>IF($D21="","",IFERROR(VLOOKUP($O21,Lists!$A$2:$B$6,2,FALSE),0))</f>
        <v/>
      </c>
      <c r="R21" s="16">
        <f>IF($I21="","",$I21-TODAY())</f>
        <v/>
      </c>
      <c r="S21" s="12">
        <f>IF(AND($I21&lt;&gt;"",$I21&lt;TODAY(),NOT(OR($O21="Ferdig",$O21="Korrekturlest"))),"OVERDUE","")</f>
        <v/>
      </c>
      <c r="T21" s="12" t="inlineStr">
        <is>
          <t>Middels</t>
        </is>
      </c>
      <c r="U21" s="12" t="inlineStr"/>
      <c r="V21" s="12" t="inlineStr"/>
      <c r="W21" s="12" t="inlineStr"/>
      <c r="X21" s="14" t="inlineStr"/>
    </row>
    <row r="22" ht="20" customHeight="1">
      <c r="A22" s="12" t="inlineStr"/>
      <c r="B22" s="12" t="inlineStr"/>
      <c r="C22" s="12" t="inlineStr"/>
      <c r="D22" s="12" t="inlineStr"/>
      <c r="E22" s="6" t="inlineStr"/>
      <c r="F22" s="13" t="inlineStr"/>
      <c r="G22" s="13" t="inlineStr"/>
      <c r="H22" s="14" t="inlineStr"/>
      <c r="I22" s="14" t="inlineStr"/>
      <c r="J22" s="14" t="inlineStr"/>
      <c r="K22" s="14" t="inlineStr"/>
      <c r="L22" s="12" t="inlineStr"/>
      <c r="M22" s="12" t="inlineStr"/>
      <c r="N22" s="12" t="inlineStr"/>
      <c r="O22" s="12">
        <f>IF($N22="x","Korrekturlest",IF($M22="x","Ferdig",IF($L22="x","Mest ferdig",IF($J22&lt;&gt;"","Pågår","Ikke startet"))))</f>
        <v/>
      </c>
      <c r="P22" s="12" t="inlineStr">
        <is>
          <t>Ikke sendt</t>
        </is>
      </c>
      <c r="Q22" s="15">
        <f>IF($D22="","",IFERROR(VLOOKUP($O22,Lists!$A$2:$B$6,2,FALSE),0))</f>
        <v/>
      </c>
      <c r="R22" s="16">
        <f>IF($I22="","",$I22-TODAY())</f>
        <v/>
      </c>
      <c r="S22" s="12">
        <f>IF(AND($I22&lt;&gt;"",$I22&lt;TODAY(),NOT(OR($O22="Ferdig",$O22="Korrekturlest"))),"OVERDUE","")</f>
        <v/>
      </c>
      <c r="T22" s="12" t="inlineStr">
        <is>
          <t>Middels</t>
        </is>
      </c>
      <c r="U22" s="12" t="inlineStr"/>
      <c r="V22" s="12" t="inlineStr"/>
      <c r="W22" s="12" t="inlineStr"/>
      <c r="X22" s="14" t="inlineStr"/>
    </row>
    <row r="23" ht="20" customHeight="1">
      <c r="A23" s="12" t="inlineStr"/>
      <c r="B23" s="12" t="inlineStr"/>
      <c r="C23" s="12" t="inlineStr"/>
      <c r="D23" s="12" t="inlineStr"/>
      <c r="E23" s="6" t="inlineStr"/>
      <c r="F23" s="13" t="inlineStr"/>
      <c r="G23" s="13" t="inlineStr"/>
      <c r="H23" s="14" t="inlineStr"/>
      <c r="I23" s="14" t="inlineStr"/>
      <c r="J23" s="14" t="inlineStr"/>
      <c r="K23" s="14" t="inlineStr"/>
      <c r="L23" s="12" t="inlineStr"/>
      <c r="M23" s="12" t="inlineStr"/>
      <c r="N23" s="12" t="inlineStr"/>
      <c r="O23" s="12">
        <f>IF($N23="x","Korrekturlest",IF($M23="x","Ferdig",IF($L23="x","Mest ferdig",IF($J23&lt;&gt;"","Pågår","Ikke startet"))))</f>
        <v/>
      </c>
      <c r="P23" s="12" t="inlineStr">
        <is>
          <t>Ikke sendt</t>
        </is>
      </c>
      <c r="Q23" s="15">
        <f>IF($D23="","",IFERROR(VLOOKUP($O23,Lists!$A$2:$B$6,2,FALSE),0))</f>
        <v/>
      </c>
      <c r="R23" s="16">
        <f>IF($I23="","",$I23-TODAY())</f>
        <v/>
      </c>
      <c r="S23" s="12">
        <f>IF(AND($I23&lt;&gt;"",$I23&lt;TODAY(),NOT(OR($O23="Ferdig",$O23="Korrekturlest"))),"OVERDUE","")</f>
        <v/>
      </c>
      <c r="T23" s="12" t="inlineStr">
        <is>
          <t>Middels</t>
        </is>
      </c>
      <c r="U23" s="12" t="inlineStr"/>
      <c r="V23" s="12" t="inlineStr"/>
      <c r="W23" s="12" t="inlineStr"/>
      <c r="X23" s="14" t="inlineStr"/>
    </row>
    <row r="24" ht="20" customHeight="1">
      <c r="A24" s="12" t="inlineStr"/>
      <c r="B24" s="12" t="inlineStr"/>
      <c r="C24" s="12" t="inlineStr"/>
      <c r="D24" s="12" t="inlineStr"/>
      <c r="E24" s="6" t="inlineStr"/>
      <c r="F24" s="13" t="inlineStr"/>
      <c r="G24" s="13" t="inlineStr"/>
      <c r="H24" s="14" t="inlineStr"/>
      <c r="I24" s="14" t="inlineStr"/>
      <c r="J24" s="14" t="inlineStr"/>
      <c r="K24" s="14" t="inlineStr"/>
      <c r="L24" s="12" t="inlineStr"/>
      <c r="M24" s="12" t="inlineStr"/>
      <c r="N24" s="12" t="inlineStr"/>
      <c r="O24" s="12">
        <f>IF($N24="x","Korrekturlest",IF($M24="x","Ferdig",IF($L24="x","Mest ferdig",IF($J24&lt;&gt;"","Pågår","Ikke startet"))))</f>
        <v/>
      </c>
      <c r="P24" s="12" t="inlineStr">
        <is>
          <t>Ikke sendt</t>
        </is>
      </c>
      <c r="Q24" s="15">
        <f>IF($D24="","",IFERROR(VLOOKUP($O24,Lists!$A$2:$B$6,2,FALSE),0))</f>
        <v/>
      </c>
      <c r="R24" s="16">
        <f>IF($I24="","",$I24-TODAY())</f>
        <v/>
      </c>
      <c r="S24" s="12">
        <f>IF(AND($I24&lt;&gt;"",$I24&lt;TODAY(),NOT(OR($O24="Ferdig",$O24="Korrekturlest"))),"OVERDUE","")</f>
        <v/>
      </c>
      <c r="T24" s="12" t="inlineStr">
        <is>
          <t>Middels</t>
        </is>
      </c>
      <c r="U24" s="12" t="inlineStr"/>
      <c r="V24" s="12" t="inlineStr"/>
      <c r="W24" s="12" t="inlineStr"/>
      <c r="X24" s="14" t="inlineStr"/>
    </row>
    <row r="25" ht="20" customHeight="1">
      <c r="A25" s="12" t="inlineStr"/>
      <c r="B25" s="12" t="inlineStr"/>
      <c r="C25" s="12" t="inlineStr"/>
      <c r="D25" s="12" t="inlineStr"/>
      <c r="E25" s="6" t="inlineStr"/>
      <c r="F25" s="13" t="inlineStr"/>
      <c r="G25" s="13" t="inlineStr"/>
      <c r="H25" s="14" t="inlineStr"/>
      <c r="I25" s="14" t="inlineStr"/>
      <c r="J25" s="14" t="inlineStr"/>
      <c r="K25" s="14" t="inlineStr"/>
      <c r="L25" s="12" t="inlineStr"/>
      <c r="M25" s="12" t="inlineStr"/>
      <c r="N25" s="12" t="inlineStr"/>
      <c r="O25" s="12">
        <f>IF($N25="x","Korrekturlest",IF($M25="x","Ferdig",IF($L25="x","Mest ferdig",IF($J25&lt;&gt;"","Pågår","Ikke startet"))))</f>
        <v/>
      </c>
      <c r="P25" s="12" t="inlineStr">
        <is>
          <t>Ikke sendt</t>
        </is>
      </c>
      <c r="Q25" s="15">
        <f>IF($D25="","",IFERROR(VLOOKUP($O25,Lists!$A$2:$B$6,2,FALSE),0))</f>
        <v/>
      </c>
      <c r="R25" s="16">
        <f>IF($I25="","",$I25-TODAY())</f>
        <v/>
      </c>
      <c r="S25" s="12">
        <f>IF(AND($I25&lt;&gt;"",$I25&lt;TODAY(),NOT(OR($O25="Ferdig",$O25="Korrekturlest"))),"OVERDUE","")</f>
        <v/>
      </c>
      <c r="T25" s="12" t="inlineStr">
        <is>
          <t>Middels</t>
        </is>
      </c>
      <c r="U25" s="12" t="inlineStr"/>
      <c r="V25" s="12" t="inlineStr"/>
      <c r="W25" s="12" t="inlineStr"/>
      <c r="X25" s="14" t="inlineStr"/>
    </row>
    <row r="26" ht="20" customHeight="1">
      <c r="A26" s="12" t="inlineStr"/>
      <c r="B26" s="12" t="inlineStr"/>
      <c r="C26" s="12" t="inlineStr"/>
      <c r="D26" s="12" t="inlineStr"/>
      <c r="E26" s="6" t="inlineStr"/>
      <c r="F26" s="13" t="inlineStr"/>
      <c r="G26" s="13" t="inlineStr"/>
      <c r="H26" s="14" t="inlineStr"/>
      <c r="I26" s="14" t="inlineStr"/>
      <c r="J26" s="14" t="inlineStr"/>
      <c r="K26" s="14" t="inlineStr"/>
      <c r="L26" s="12" t="inlineStr"/>
      <c r="M26" s="12" t="inlineStr"/>
      <c r="N26" s="12" t="inlineStr"/>
      <c r="O26" s="12">
        <f>IF($N26="x","Korrekturlest",IF($M26="x","Ferdig",IF($L26="x","Mest ferdig",IF($J26&lt;&gt;"","Pågår","Ikke startet"))))</f>
        <v/>
      </c>
      <c r="P26" s="12" t="inlineStr">
        <is>
          <t>Ikke sendt</t>
        </is>
      </c>
      <c r="Q26" s="15">
        <f>IF($D26="","",IFERROR(VLOOKUP($O26,Lists!$A$2:$B$6,2,FALSE),0))</f>
        <v/>
      </c>
      <c r="R26" s="16">
        <f>IF($I26="","",$I26-TODAY())</f>
        <v/>
      </c>
      <c r="S26" s="12">
        <f>IF(AND($I26&lt;&gt;"",$I26&lt;TODAY(),NOT(OR($O26="Ferdig",$O26="Korrekturlest"))),"OVERDUE","")</f>
        <v/>
      </c>
      <c r="T26" s="12" t="inlineStr">
        <is>
          <t>Middels</t>
        </is>
      </c>
      <c r="U26" s="12" t="inlineStr"/>
      <c r="V26" s="12" t="inlineStr"/>
      <c r="W26" s="12" t="inlineStr"/>
      <c r="X26" s="14" t="inlineStr"/>
    </row>
    <row r="27" ht="20" customHeight="1">
      <c r="A27" s="12" t="inlineStr"/>
      <c r="B27" s="12" t="inlineStr"/>
      <c r="C27" s="12" t="inlineStr"/>
      <c r="D27" s="12" t="inlineStr"/>
      <c r="E27" s="6" t="inlineStr"/>
      <c r="F27" s="13" t="inlineStr"/>
      <c r="G27" s="13" t="inlineStr"/>
      <c r="H27" s="14" t="inlineStr"/>
      <c r="I27" s="14" t="inlineStr"/>
      <c r="J27" s="14" t="inlineStr"/>
      <c r="K27" s="14" t="inlineStr"/>
      <c r="L27" s="12" t="inlineStr"/>
      <c r="M27" s="12" t="inlineStr"/>
      <c r="N27" s="12" t="inlineStr"/>
      <c r="O27" s="12">
        <f>IF($N27="x","Korrekturlest",IF($M27="x","Ferdig",IF($L27="x","Mest ferdig",IF($J27&lt;&gt;"","Pågår","Ikke startet"))))</f>
        <v/>
      </c>
      <c r="P27" s="12" t="inlineStr">
        <is>
          <t>Ikke sendt</t>
        </is>
      </c>
      <c r="Q27" s="15">
        <f>IF($D27="","",IFERROR(VLOOKUP($O27,Lists!$A$2:$B$6,2,FALSE),0))</f>
        <v/>
      </c>
      <c r="R27" s="16">
        <f>IF($I27="","",$I27-TODAY())</f>
        <v/>
      </c>
      <c r="S27" s="12">
        <f>IF(AND($I27&lt;&gt;"",$I27&lt;TODAY(),NOT(OR($O27="Ferdig",$O27="Korrekturlest"))),"OVERDUE","")</f>
        <v/>
      </c>
      <c r="T27" s="12" t="inlineStr">
        <is>
          <t>Middels</t>
        </is>
      </c>
      <c r="U27" s="12" t="inlineStr"/>
      <c r="V27" s="12" t="inlineStr"/>
      <c r="W27" s="12" t="inlineStr"/>
      <c r="X27" s="14" t="inlineStr"/>
    </row>
    <row r="28" ht="20" customHeight="1">
      <c r="A28" s="12" t="inlineStr"/>
      <c r="B28" s="12" t="inlineStr"/>
      <c r="C28" s="12" t="inlineStr"/>
      <c r="D28" s="12" t="inlineStr"/>
      <c r="E28" s="6" t="inlineStr"/>
      <c r="F28" s="13" t="inlineStr"/>
      <c r="G28" s="13" t="inlineStr"/>
      <c r="H28" s="14" t="inlineStr"/>
      <c r="I28" s="14" t="inlineStr"/>
      <c r="J28" s="14" t="inlineStr"/>
      <c r="K28" s="14" t="inlineStr"/>
      <c r="L28" s="12" t="inlineStr"/>
      <c r="M28" s="12" t="inlineStr"/>
      <c r="N28" s="12" t="inlineStr"/>
      <c r="O28" s="12">
        <f>IF($N28="x","Korrekturlest",IF($M28="x","Ferdig",IF($L28="x","Mest ferdig",IF($J28&lt;&gt;"","Pågår","Ikke startet"))))</f>
        <v/>
      </c>
      <c r="P28" s="12" t="inlineStr">
        <is>
          <t>Ikke sendt</t>
        </is>
      </c>
      <c r="Q28" s="15">
        <f>IF($D28="","",IFERROR(VLOOKUP($O28,Lists!$A$2:$B$6,2,FALSE),0))</f>
        <v/>
      </c>
      <c r="R28" s="16">
        <f>IF($I28="","",$I28-TODAY())</f>
        <v/>
      </c>
      <c r="S28" s="12">
        <f>IF(AND($I28&lt;&gt;"",$I28&lt;TODAY(),NOT(OR($O28="Ferdig",$O28="Korrekturlest"))),"OVERDUE","")</f>
        <v/>
      </c>
      <c r="T28" s="12" t="inlineStr">
        <is>
          <t>Middels</t>
        </is>
      </c>
      <c r="U28" s="12" t="inlineStr"/>
      <c r="V28" s="12" t="inlineStr"/>
      <c r="W28" s="12" t="inlineStr"/>
      <c r="X28" s="14" t="inlineStr"/>
    </row>
    <row r="29" ht="20" customHeight="1">
      <c r="A29" s="12" t="inlineStr"/>
      <c r="B29" s="12" t="inlineStr"/>
      <c r="C29" s="12" t="inlineStr"/>
      <c r="D29" s="12" t="inlineStr"/>
      <c r="E29" s="6" t="inlineStr"/>
      <c r="F29" s="13" t="inlineStr"/>
      <c r="G29" s="13" t="inlineStr"/>
      <c r="H29" s="14" t="inlineStr"/>
      <c r="I29" s="14" t="inlineStr"/>
      <c r="J29" s="14" t="inlineStr"/>
      <c r="K29" s="14" t="inlineStr"/>
      <c r="L29" s="12" t="inlineStr"/>
      <c r="M29" s="12" t="inlineStr"/>
      <c r="N29" s="12" t="inlineStr"/>
      <c r="O29" s="12">
        <f>IF($N29="x","Korrekturlest",IF($M29="x","Ferdig",IF($L29="x","Mest ferdig",IF($J29&lt;&gt;"","Pågår","Ikke startet"))))</f>
        <v/>
      </c>
      <c r="P29" s="12" t="inlineStr">
        <is>
          <t>Ikke sendt</t>
        </is>
      </c>
      <c r="Q29" s="15">
        <f>IF($D29="","",IFERROR(VLOOKUP($O29,Lists!$A$2:$B$6,2,FALSE),0))</f>
        <v/>
      </c>
      <c r="R29" s="16">
        <f>IF($I29="","",$I29-TODAY())</f>
        <v/>
      </c>
      <c r="S29" s="12">
        <f>IF(AND($I29&lt;&gt;"",$I29&lt;TODAY(),NOT(OR($O29="Ferdig",$O29="Korrekturlest"))),"OVERDUE","")</f>
        <v/>
      </c>
      <c r="T29" s="12" t="inlineStr">
        <is>
          <t>Middels</t>
        </is>
      </c>
      <c r="U29" s="12" t="inlineStr"/>
      <c r="V29" s="12" t="inlineStr"/>
      <c r="W29" s="12" t="inlineStr"/>
      <c r="X29" s="14" t="inlineStr"/>
    </row>
    <row r="30" ht="20" customHeight="1">
      <c r="A30" s="12" t="inlineStr"/>
      <c r="B30" s="12" t="inlineStr"/>
      <c r="C30" s="12" t="inlineStr"/>
      <c r="D30" s="12" t="inlineStr"/>
      <c r="E30" s="6" t="inlineStr"/>
      <c r="F30" s="13" t="inlineStr"/>
      <c r="G30" s="13" t="inlineStr"/>
      <c r="H30" s="14" t="inlineStr"/>
      <c r="I30" s="14" t="inlineStr"/>
      <c r="J30" s="14" t="inlineStr"/>
      <c r="K30" s="14" t="inlineStr"/>
      <c r="L30" s="12" t="inlineStr"/>
      <c r="M30" s="12" t="inlineStr"/>
      <c r="N30" s="12" t="inlineStr"/>
      <c r="O30" s="12">
        <f>IF($N30="x","Korrekturlest",IF($M30="x","Ferdig",IF($L30="x","Mest ferdig",IF($J30&lt;&gt;"","Pågår","Ikke startet"))))</f>
        <v/>
      </c>
      <c r="P30" s="12" t="inlineStr">
        <is>
          <t>Ikke sendt</t>
        </is>
      </c>
      <c r="Q30" s="15">
        <f>IF($D30="","",IFERROR(VLOOKUP($O30,Lists!$A$2:$B$6,2,FALSE),0))</f>
        <v/>
      </c>
      <c r="R30" s="16">
        <f>IF($I30="","",$I30-TODAY())</f>
        <v/>
      </c>
      <c r="S30" s="12">
        <f>IF(AND($I30&lt;&gt;"",$I30&lt;TODAY(),NOT(OR($O30="Ferdig",$O30="Korrekturlest"))),"OVERDUE","")</f>
        <v/>
      </c>
      <c r="T30" s="12" t="inlineStr">
        <is>
          <t>Middels</t>
        </is>
      </c>
      <c r="U30" s="12" t="inlineStr"/>
      <c r="V30" s="12" t="inlineStr"/>
      <c r="W30" s="12" t="inlineStr"/>
      <c r="X30" s="14" t="inlineStr"/>
    </row>
    <row r="31" ht="20" customHeight="1">
      <c r="A31" s="12" t="inlineStr"/>
      <c r="B31" s="12" t="inlineStr"/>
      <c r="C31" s="12" t="inlineStr"/>
      <c r="D31" s="12" t="inlineStr"/>
      <c r="E31" s="6" t="inlineStr"/>
      <c r="F31" s="13" t="inlineStr"/>
      <c r="G31" s="13" t="inlineStr"/>
      <c r="H31" s="14" t="inlineStr"/>
      <c r="I31" s="14" t="inlineStr"/>
      <c r="J31" s="14" t="inlineStr"/>
      <c r="K31" s="14" t="inlineStr"/>
      <c r="L31" s="12" t="inlineStr"/>
      <c r="M31" s="12" t="inlineStr"/>
      <c r="N31" s="12" t="inlineStr"/>
      <c r="O31" s="12">
        <f>IF($N31="x","Korrekturlest",IF($M31="x","Ferdig",IF($L31="x","Mest ferdig",IF($J31&lt;&gt;"","Pågår","Ikke startet"))))</f>
        <v/>
      </c>
      <c r="P31" s="12" t="inlineStr">
        <is>
          <t>Ikke sendt</t>
        </is>
      </c>
      <c r="Q31" s="15">
        <f>IF($D31="","",IFERROR(VLOOKUP($O31,Lists!$A$2:$B$6,2,FALSE),0))</f>
        <v/>
      </c>
      <c r="R31" s="16">
        <f>IF($I31="","",$I31-TODAY())</f>
        <v/>
      </c>
      <c r="S31" s="12">
        <f>IF(AND($I31&lt;&gt;"",$I31&lt;TODAY(),NOT(OR($O31="Ferdig",$O31="Korrekturlest"))),"OVERDUE","")</f>
        <v/>
      </c>
      <c r="T31" s="12" t="inlineStr">
        <is>
          <t>Middels</t>
        </is>
      </c>
      <c r="U31" s="12" t="inlineStr"/>
      <c r="V31" s="12" t="inlineStr"/>
      <c r="W31" s="12" t="inlineStr"/>
      <c r="X31" s="14" t="inlineStr"/>
    </row>
    <row r="32" ht="20" customHeight="1">
      <c r="A32" s="12" t="inlineStr"/>
      <c r="B32" s="12" t="inlineStr"/>
      <c r="C32" s="12" t="inlineStr"/>
      <c r="D32" s="12" t="inlineStr"/>
      <c r="E32" s="6" t="inlineStr"/>
      <c r="F32" s="13" t="inlineStr"/>
      <c r="G32" s="13" t="inlineStr"/>
      <c r="H32" s="14" t="inlineStr"/>
      <c r="I32" s="14" t="inlineStr"/>
      <c r="J32" s="14" t="inlineStr"/>
      <c r="K32" s="14" t="inlineStr"/>
      <c r="L32" s="12" t="inlineStr"/>
      <c r="M32" s="12" t="inlineStr"/>
      <c r="N32" s="12" t="inlineStr"/>
      <c r="O32" s="12">
        <f>IF($N32="x","Korrekturlest",IF($M32="x","Ferdig",IF($L32="x","Mest ferdig",IF($J32&lt;&gt;"","Pågår","Ikke startet"))))</f>
        <v/>
      </c>
      <c r="P32" s="12" t="inlineStr">
        <is>
          <t>Ikke sendt</t>
        </is>
      </c>
      <c r="Q32" s="15">
        <f>IF($D32="","",IFERROR(VLOOKUP($O32,Lists!$A$2:$B$6,2,FALSE),0))</f>
        <v/>
      </c>
      <c r="R32" s="16">
        <f>IF($I32="","",$I32-TODAY())</f>
        <v/>
      </c>
      <c r="S32" s="12">
        <f>IF(AND($I32&lt;&gt;"",$I32&lt;TODAY(),NOT(OR($O32="Ferdig",$O32="Korrekturlest"))),"OVERDUE","")</f>
        <v/>
      </c>
      <c r="T32" s="12" t="inlineStr">
        <is>
          <t>Middels</t>
        </is>
      </c>
      <c r="U32" s="12" t="inlineStr"/>
      <c r="V32" s="12" t="inlineStr"/>
      <c r="W32" s="12" t="inlineStr"/>
      <c r="X32" s="14" t="inlineStr"/>
    </row>
    <row r="33" ht="20" customHeight="1">
      <c r="A33" s="12" t="inlineStr"/>
      <c r="B33" s="12" t="inlineStr"/>
      <c r="C33" s="12" t="inlineStr"/>
      <c r="D33" s="12" t="inlineStr"/>
      <c r="E33" s="6" t="inlineStr"/>
      <c r="F33" s="13" t="inlineStr"/>
      <c r="G33" s="13" t="inlineStr"/>
      <c r="H33" s="14" t="inlineStr"/>
      <c r="I33" s="14" t="inlineStr"/>
      <c r="J33" s="14" t="inlineStr"/>
      <c r="K33" s="14" t="inlineStr"/>
      <c r="L33" s="12" t="inlineStr"/>
      <c r="M33" s="12" t="inlineStr"/>
      <c r="N33" s="12" t="inlineStr"/>
      <c r="O33" s="12">
        <f>IF($N33="x","Korrekturlest",IF($M33="x","Ferdig",IF($L33="x","Mest ferdig",IF($J33&lt;&gt;"","Pågår","Ikke startet"))))</f>
        <v/>
      </c>
      <c r="P33" s="12" t="inlineStr">
        <is>
          <t>Ikke sendt</t>
        </is>
      </c>
      <c r="Q33" s="15">
        <f>IF($D33="","",IFERROR(VLOOKUP($O33,Lists!$A$2:$B$6,2,FALSE),0))</f>
        <v/>
      </c>
      <c r="R33" s="16">
        <f>IF($I33="","",$I33-TODAY())</f>
        <v/>
      </c>
      <c r="S33" s="12">
        <f>IF(AND($I33&lt;&gt;"",$I33&lt;TODAY(),NOT(OR($O33="Ferdig",$O33="Korrekturlest"))),"OVERDUE","")</f>
        <v/>
      </c>
      <c r="T33" s="12" t="inlineStr">
        <is>
          <t>Middels</t>
        </is>
      </c>
      <c r="U33" s="12" t="inlineStr"/>
      <c r="V33" s="12" t="inlineStr"/>
      <c r="W33" s="12" t="inlineStr"/>
      <c r="X33" s="14" t="inlineStr"/>
    </row>
    <row r="34" ht="20" customHeight="1">
      <c r="A34" s="12" t="inlineStr"/>
      <c r="B34" s="12" t="inlineStr"/>
      <c r="C34" s="12" t="inlineStr"/>
      <c r="D34" s="12" t="inlineStr"/>
      <c r="E34" s="6" t="inlineStr"/>
      <c r="F34" s="13" t="inlineStr"/>
      <c r="G34" s="13" t="inlineStr"/>
      <c r="H34" s="14" t="inlineStr"/>
      <c r="I34" s="14" t="inlineStr"/>
      <c r="J34" s="14" t="inlineStr"/>
      <c r="K34" s="14" t="inlineStr"/>
      <c r="L34" s="12" t="inlineStr"/>
      <c r="M34" s="12" t="inlineStr"/>
      <c r="N34" s="12" t="inlineStr"/>
      <c r="O34" s="12">
        <f>IF($N34="x","Korrekturlest",IF($M34="x","Ferdig",IF($L34="x","Mest ferdig",IF($J34&lt;&gt;"","Pågår","Ikke startet"))))</f>
        <v/>
      </c>
      <c r="P34" s="12" t="inlineStr">
        <is>
          <t>Ikke sendt</t>
        </is>
      </c>
      <c r="Q34" s="15">
        <f>IF($D34="","",IFERROR(VLOOKUP($O34,Lists!$A$2:$B$6,2,FALSE),0))</f>
        <v/>
      </c>
      <c r="R34" s="16">
        <f>IF($I34="","",$I34-TODAY())</f>
        <v/>
      </c>
      <c r="S34" s="12">
        <f>IF(AND($I34&lt;&gt;"",$I34&lt;TODAY(),NOT(OR($O34="Ferdig",$O34="Korrekturlest"))),"OVERDUE","")</f>
        <v/>
      </c>
      <c r="T34" s="12" t="inlineStr">
        <is>
          <t>Middels</t>
        </is>
      </c>
      <c r="U34" s="12" t="inlineStr"/>
      <c r="V34" s="12" t="inlineStr"/>
      <c r="W34" s="12" t="inlineStr"/>
      <c r="X34" s="14" t="inlineStr"/>
    </row>
    <row r="35" ht="20" customHeight="1">
      <c r="A35" s="12" t="inlineStr"/>
      <c r="B35" s="12" t="inlineStr"/>
      <c r="C35" s="12" t="inlineStr"/>
      <c r="D35" s="12" t="inlineStr"/>
      <c r="E35" s="6" t="inlineStr"/>
      <c r="F35" s="13" t="inlineStr"/>
      <c r="G35" s="13" t="inlineStr"/>
      <c r="H35" s="14" t="inlineStr"/>
      <c r="I35" s="14" t="inlineStr"/>
      <c r="J35" s="14" t="inlineStr"/>
      <c r="K35" s="14" t="inlineStr"/>
      <c r="L35" s="12" t="inlineStr"/>
      <c r="M35" s="12" t="inlineStr"/>
      <c r="N35" s="12" t="inlineStr"/>
      <c r="O35" s="12">
        <f>IF($N35="x","Korrekturlest",IF($M35="x","Ferdig",IF($L35="x","Mest ferdig",IF($J35&lt;&gt;"","Pågår","Ikke startet"))))</f>
        <v/>
      </c>
      <c r="P35" s="12" t="inlineStr">
        <is>
          <t>Ikke sendt</t>
        </is>
      </c>
      <c r="Q35" s="15">
        <f>IF($D35="","",IFERROR(VLOOKUP($O35,Lists!$A$2:$B$6,2,FALSE),0))</f>
        <v/>
      </c>
      <c r="R35" s="16">
        <f>IF($I35="","",$I35-TODAY())</f>
        <v/>
      </c>
      <c r="S35" s="12">
        <f>IF(AND($I35&lt;&gt;"",$I35&lt;TODAY(),NOT(OR($O35="Ferdig",$O35="Korrekturlest"))),"OVERDUE","")</f>
        <v/>
      </c>
      <c r="T35" s="12" t="inlineStr">
        <is>
          <t>Middels</t>
        </is>
      </c>
      <c r="U35" s="12" t="inlineStr"/>
      <c r="V35" s="12" t="inlineStr"/>
      <c r="W35" s="12" t="inlineStr"/>
      <c r="X35" s="14" t="inlineStr"/>
    </row>
    <row r="36" ht="20" customHeight="1">
      <c r="A36" s="12" t="inlineStr"/>
      <c r="B36" s="12" t="inlineStr"/>
      <c r="C36" s="12" t="inlineStr"/>
      <c r="D36" s="12" t="inlineStr"/>
      <c r="E36" s="6" t="inlineStr"/>
      <c r="F36" s="13" t="inlineStr"/>
      <c r="G36" s="13" t="inlineStr"/>
      <c r="H36" s="14" t="inlineStr"/>
      <c r="I36" s="14" t="inlineStr"/>
      <c r="J36" s="14" t="inlineStr"/>
      <c r="K36" s="14" t="inlineStr"/>
      <c r="L36" s="12" t="inlineStr"/>
      <c r="M36" s="12" t="inlineStr"/>
      <c r="N36" s="12" t="inlineStr"/>
      <c r="O36" s="12">
        <f>IF($N36="x","Korrekturlest",IF($M36="x","Ferdig",IF($L36="x","Mest ferdig",IF($J36&lt;&gt;"","Pågår","Ikke startet"))))</f>
        <v/>
      </c>
      <c r="P36" s="12" t="inlineStr">
        <is>
          <t>Ikke sendt</t>
        </is>
      </c>
      <c r="Q36" s="15">
        <f>IF($D36="","",IFERROR(VLOOKUP($O36,Lists!$A$2:$B$6,2,FALSE),0))</f>
        <v/>
      </c>
      <c r="R36" s="16">
        <f>IF($I36="","",$I36-TODAY())</f>
        <v/>
      </c>
      <c r="S36" s="12">
        <f>IF(AND($I36&lt;&gt;"",$I36&lt;TODAY(),NOT(OR($O36="Ferdig",$O36="Korrekturlest"))),"OVERDUE","")</f>
        <v/>
      </c>
      <c r="T36" s="12" t="inlineStr">
        <is>
          <t>Middels</t>
        </is>
      </c>
      <c r="U36" s="12" t="inlineStr"/>
      <c r="V36" s="12" t="inlineStr"/>
      <c r="W36" s="12" t="inlineStr"/>
      <c r="X36" s="14" t="inlineStr"/>
    </row>
    <row r="37" ht="20" customHeight="1">
      <c r="A37" s="12" t="inlineStr"/>
      <c r="B37" s="12" t="inlineStr"/>
      <c r="C37" s="12" t="inlineStr"/>
      <c r="D37" s="12" t="inlineStr"/>
      <c r="E37" s="6" t="inlineStr"/>
      <c r="F37" s="13" t="inlineStr"/>
      <c r="G37" s="13" t="inlineStr"/>
      <c r="H37" s="14" t="inlineStr"/>
      <c r="I37" s="14" t="inlineStr"/>
      <c r="J37" s="14" t="inlineStr"/>
      <c r="K37" s="14" t="inlineStr"/>
      <c r="L37" s="12" t="inlineStr"/>
      <c r="M37" s="12" t="inlineStr"/>
      <c r="N37" s="12" t="inlineStr"/>
      <c r="O37" s="12">
        <f>IF($N37="x","Korrekturlest",IF($M37="x","Ferdig",IF($L37="x","Mest ferdig",IF($J37&lt;&gt;"","Pågår","Ikke startet"))))</f>
        <v/>
      </c>
      <c r="P37" s="12" t="inlineStr">
        <is>
          <t>Ikke sendt</t>
        </is>
      </c>
      <c r="Q37" s="15">
        <f>IF($D37="","",IFERROR(VLOOKUP($O37,Lists!$A$2:$B$6,2,FALSE),0))</f>
        <v/>
      </c>
      <c r="R37" s="16">
        <f>IF($I37="","",$I37-TODAY())</f>
        <v/>
      </c>
      <c r="S37" s="12">
        <f>IF(AND($I37&lt;&gt;"",$I37&lt;TODAY(),NOT(OR($O37="Ferdig",$O37="Korrekturlest"))),"OVERDUE","")</f>
        <v/>
      </c>
      <c r="T37" s="12" t="inlineStr">
        <is>
          <t>Middels</t>
        </is>
      </c>
      <c r="U37" s="12" t="inlineStr"/>
      <c r="V37" s="12" t="inlineStr"/>
      <c r="W37" s="12" t="inlineStr"/>
      <c r="X37" s="14" t="inlineStr"/>
    </row>
    <row r="38" ht="20" customHeight="1">
      <c r="A38" s="12" t="inlineStr"/>
      <c r="B38" s="12" t="inlineStr"/>
      <c r="C38" s="12" t="inlineStr"/>
      <c r="D38" s="12" t="inlineStr"/>
      <c r="E38" s="6" t="inlineStr"/>
      <c r="F38" s="13" t="inlineStr"/>
      <c r="G38" s="13" t="inlineStr"/>
      <c r="H38" s="14" t="inlineStr"/>
      <c r="I38" s="14" t="inlineStr"/>
      <c r="J38" s="14" t="inlineStr"/>
      <c r="K38" s="14" t="inlineStr"/>
      <c r="L38" s="12" t="inlineStr"/>
      <c r="M38" s="12" t="inlineStr"/>
      <c r="N38" s="12" t="inlineStr"/>
      <c r="O38" s="12">
        <f>IF($N38="x","Korrekturlest",IF($M38="x","Ferdig",IF($L38="x","Mest ferdig",IF($J38&lt;&gt;"","Pågår","Ikke startet"))))</f>
        <v/>
      </c>
      <c r="P38" s="12" t="inlineStr">
        <is>
          <t>Ikke sendt</t>
        </is>
      </c>
      <c r="Q38" s="15">
        <f>IF($D38="","",IFERROR(VLOOKUP($O38,Lists!$A$2:$B$6,2,FALSE),0))</f>
        <v/>
      </c>
      <c r="R38" s="16">
        <f>IF($I38="","",$I38-TODAY())</f>
        <v/>
      </c>
      <c r="S38" s="12">
        <f>IF(AND($I38&lt;&gt;"",$I38&lt;TODAY(),NOT(OR($O38="Ferdig",$O38="Korrekturlest"))),"OVERDUE","")</f>
        <v/>
      </c>
      <c r="T38" s="12" t="inlineStr">
        <is>
          <t>Middels</t>
        </is>
      </c>
      <c r="U38" s="12" t="inlineStr"/>
      <c r="V38" s="12" t="inlineStr"/>
      <c r="W38" s="12" t="inlineStr"/>
      <c r="X38" s="14" t="inlineStr"/>
    </row>
    <row r="39" ht="20" customHeight="1">
      <c r="A39" s="12" t="inlineStr"/>
      <c r="B39" s="12" t="inlineStr"/>
      <c r="C39" s="12" t="inlineStr"/>
      <c r="D39" s="12" t="inlineStr"/>
      <c r="E39" s="6" t="inlineStr"/>
      <c r="F39" s="13" t="inlineStr"/>
      <c r="G39" s="13" t="inlineStr"/>
      <c r="H39" s="14" t="inlineStr"/>
      <c r="I39" s="14" t="inlineStr"/>
      <c r="J39" s="14" t="inlineStr"/>
      <c r="K39" s="14" t="inlineStr"/>
      <c r="L39" s="12" t="inlineStr"/>
      <c r="M39" s="12" t="inlineStr"/>
      <c r="N39" s="12" t="inlineStr"/>
      <c r="O39" s="12">
        <f>IF($N39="x","Korrekturlest",IF($M39="x","Ferdig",IF($L39="x","Mest ferdig",IF($J39&lt;&gt;"","Pågår","Ikke startet"))))</f>
        <v/>
      </c>
      <c r="P39" s="12" t="inlineStr">
        <is>
          <t>Ikke sendt</t>
        </is>
      </c>
      <c r="Q39" s="15">
        <f>IF($D39="","",IFERROR(VLOOKUP($O39,Lists!$A$2:$B$6,2,FALSE),0))</f>
        <v/>
      </c>
      <c r="R39" s="16">
        <f>IF($I39="","",$I39-TODAY())</f>
        <v/>
      </c>
      <c r="S39" s="12">
        <f>IF(AND($I39&lt;&gt;"",$I39&lt;TODAY(),NOT(OR($O39="Ferdig",$O39="Korrekturlest"))),"OVERDUE","")</f>
        <v/>
      </c>
      <c r="T39" s="12" t="inlineStr">
        <is>
          <t>Middels</t>
        </is>
      </c>
      <c r="U39" s="12" t="inlineStr"/>
      <c r="V39" s="12" t="inlineStr"/>
      <c r="W39" s="12" t="inlineStr"/>
      <c r="X39" s="14" t="inlineStr"/>
    </row>
    <row r="40" ht="20" customHeight="1">
      <c r="A40" s="12" t="inlineStr"/>
      <c r="B40" s="12" t="inlineStr"/>
      <c r="C40" s="12" t="inlineStr"/>
      <c r="D40" s="12" t="inlineStr"/>
      <c r="E40" s="6" t="inlineStr"/>
      <c r="F40" s="13" t="inlineStr"/>
      <c r="G40" s="13" t="inlineStr"/>
      <c r="H40" s="14" t="inlineStr"/>
      <c r="I40" s="14" t="inlineStr"/>
      <c r="J40" s="14" t="inlineStr"/>
      <c r="K40" s="14" t="inlineStr"/>
      <c r="L40" s="12" t="inlineStr"/>
      <c r="M40" s="12" t="inlineStr"/>
      <c r="N40" s="12" t="inlineStr"/>
      <c r="O40" s="12">
        <f>IF($N40="x","Korrekturlest",IF($M40="x","Ferdig",IF($L40="x","Mest ferdig",IF($J40&lt;&gt;"","Pågår","Ikke startet"))))</f>
        <v/>
      </c>
      <c r="P40" s="12" t="inlineStr">
        <is>
          <t>Ikke sendt</t>
        </is>
      </c>
      <c r="Q40" s="15">
        <f>IF($D40="","",IFERROR(VLOOKUP($O40,Lists!$A$2:$B$6,2,FALSE),0))</f>
        <v/>
      </c>
      <c r="R40" s="16">
        <f>IF($I40="","",$I40-TODAY())</f>
        <v/>
      </c>
      <c r="S40" s="12">
        <f>IF(AND($I40&lt;&gt;"",$I40&lt;TODAY(),NOT(OR($O40="Ferdig",$O40="Korrekturlest"))),"OVERDUE","")</f>
        <v/>
      </c>
      <c r="T40" s="12" t="inlineStr">
        <is>
          <t>Middels</t>
        </is>
      </c>
      <c r="U40" s="12" t="inlineStr"/>
      <c r="V40" s="12" t="inlineStr"/>
      <c r="W40" s="12" t="inlineStr"/>
      <c r="X40" s="14" t="inlineStr"/>
    </row>
    <row r="41" ht="20" customHeight="1">
      <c r="A41" s="12" t="inlineStr"/>
      <c r="B41" s="12" t="inlineStr"/>
      <c r="C41" s="12" t="inlineStr"/>
      <c r="D41" s="12" t="inlineStr"/>
      <c r="E41" s="6" t="inlineStr"/>
      <c r="F41" s="13" t="inlineStr"/>
      <c r="G41" s="13" t="inlineStr"/>
      <c r="H41" s="14" t="inlineStr"/>
      <c r="I41" s="14" t="inlineStr"/>
      <c r="J41" s="14" t="inlineStr"/>
      <c r="K41" s="14" t="inlineStr"/>
      <c r="L41" s="12" t="inlineStr"/>
      <c r="M41" s="12" t="inlineStr"/>
      <c r="N41" s="12" t="inlineStr"/>
      <c r="O41" s="12">
        <f>IF($N41="x","Korrekturlest",IF($M41="x","Ferdig",IF($L41="x","Mest ferdig",IF($J41&lt;&gt;"","Pågår","Ikke startet"))))</f>
        <v/>
      </c>
      <c r="P41" s="12" t="inlineStr">
        <is>
          <t>Ikke sendt</t>
        </is>
      </c>
      <c r="Q41" s="15">
        <f>IF($D41="","",IFERROR(VLOOKUP($O41,Lists!$A$2:$B$6,2,FALSE),0))</f>
        <v/>
      </c>
      <c r="R41" s="16">
        <f>IF($I41="","",$I41-TODAY())</f>
        <v/>
      </c>
      <c r="S41" s="12">
        <f>IF(AND($I41&lt;&gt;"",$I41&lt;TODAY(),NOT(OR($O41="Ferdig",$O41="Korrekturlest"))),"OVERDUE","")</f>
        <v/>
      </c>
      <c r="T41" s="12" t="inlineStr">
        <is>
          <t>Middels</t>
        </is>
      </c>
      <c r="U41" s="12" t="inlineStr"/>
      <c r="V41" s="12" t="inlineStr"/>
      <c r="W41" s="12" t="inlineStr"/>
      <c r="X41" s="14" t="inlineStr"/>
    </row>
    <row r="42" ht="20" customHeight="1">
      <c r="A42" s="12" t="inlineStr"/>
      <c r="B42" s="12" t="inlineStr"/>
      <c r="C42" s="12" t="inlineStr"/>
      <c r="D42" s="12" t="inlineStr"/>
      <c r="E42" s="6" t="inlineStr"/>
      <c r="F42" s="13" t="inlineStr"/>
      <c r="G42" s="13" t="inlineStr"/>
      <c r="H42" s="14" t="inlineStr"/>
      <c r="I42" s="14" t="inlineStr"/>
      <c r="J42" s="14" t="inlineStr"/>
      <c r="K42" s="14" t="inlineStr"/>
      <c r="L42" s="12" t="inlineStr"/>
      <c r="M42" s="12" t="inlineStr"/>
      <c r="N42" s="12" t="inlineStr"/>
      <c r="O42" s="12">
        <f>IF($N42="x","Korrekturlest",IF($M42="x","Ferdig",IF($L42="x","Mest ferdig",IF($J42&lt;&gt;"","Pågår","Ikke startet"))))</f>
        <v/>
      </c>
      <c r="P42" s="12" t="inlineStr">
        <is>
          <t>Ikke sendt</t>
        </is>
      </c>
      <c r="Q42" s="15">
        <f>IF($D42="","",IFERROR(VLOOKUP($O42,Lists!$A$2:$B$6,2,FALSE),0))</f>
        <v/>
      </c>
      <c r="R42" s="16">
        <f>IF($I42="","",$I42-TODAY())</f>
        <v/>
      </c>
      <c r="S42" s="12">
        <f>IF(AND($I42&lt;&gt;"",$I42&lt;TODAY(),NOT(OR($O42="Ferdig",$O42="Korrekturlest"))),"OVERDUE","")</f>
        <v/>
      </c>
      <c r="T42" s="12" t="inlineStr">
        <is>
          <t>Middels</t>
        </is>
      </c>
      <c r="U42" s="12" t="inlineStr"/>
      <c r="V42" s="12" t="inlineStr"/>
      <c r="W42" s="12" t="inlineStr"/>
      <c r="X42" s="14" t="inlineStr"/>
    </row>
    <row r="43" ht="20" customHeight="1">
      <c r="A43" s="12" t="inlineStr"/>
      <c r="B43" s="12" t="inlineStr"/>
      <c r="C43" s="12" t="inlineStr"/>
      <c r="D43" s="12" t="inlineStr"/>
      <c r="E43" s="6" t="inlineStr"/>
      <c r="F43" s="13" t="inlineStr"/>
      <c r="G43" s="13" t="inlineStr"/>
      <c r="H43" s="14" t="inlineStr"/>
      <c r="I43" s="14" t="inlineStr"/>
      <c r="J43" s="14" t="inlineStr"/>
      <c r="K43" s="14" t="inlineStr"/>
      <c r="L43" s="12" t="inlineStr"/>
      <c r="M43" s="12" t="inlineStr"/>
      <c r="N43" s="12" t="inlineStr"/>
      <c r="O43" s="12">
        <f>IF($N43="x","Korrekturlest",IF($M43="x","Ferdig",IF($L43="x","Mest ferdig",IF($J43&lt;&gt;"","Pågår","Ikke startet"))))</f>
        <v/>
      </c>
      <c r="P43" s="12" t="inlineStr">
        <is>
          <t>Ikke sendt</t>
        </is>
      </c>
      <c r="Q43" s="15">
        <f>IF($D43="","",IFERROR(VLOOKUP($O43,Lists!$A$2:$B$6,2,FALSE),0))</f>
        <v/>
      </c>
      <c r="R43" s="16">
        <f>IF($I43="","",$I43-TODAY())</f>
        <v/>
      </c>
      <c r="S43" s="12">
        <f>IF(AND($I43&lt;&gt;"",$I43&lt;TODAY(),NOT(OR($O43="Ferdig",$O43="Korrekturlest"))),"OVERDUE","")</f>
        <v/>
      </c>
      <c r="T43" s="12" t="inlineStr">
        <is>
          <t>Middels</t>
        </is>
      </c>
      <c r="U43" s="12" t="inlineStr"/>
      <c r="V43" s="12" t="inlineStr"/>
      <c r="W43" s="12" t="inlineStr"/>
      <c r="X43" s="14" t="inlineStr"/>
    </row>
    <row r="44" ht="20" customHeight="1">
      <c r="A44" s="12" t="inlineStr"/>
      <c r="B44" s="12" t="inlineStr"/>
      <c r="C44" s="12" t="inlineStr"/>
      <c r="D44" s="12" t="inlineStr"/>
      <c r="E44" s="6" t="inlineStr"/>
      <c r="F44" s="13" t="inlineStr"/>
      <c r="G44" s="13" t="inlineStr"/>
      <c r="H44" s="14" t="inlineStr"/>
      <c r="I44" s="14" t="inlineStr"/>
      <c r="J44" s="14" t="inlineStr"/>
      <c r="K44" s="14" t="inlineStr"/>
      <c r="L44" s="12" t="inlineStr"/>
      <c r="M44" s="12" t="inlineStr"/>
      <c r="N44" s="12" t="inlineStr"/>
      <c r="O44" s="12">
        <f>IF($N44="x","Korrekturlest",IF($M44="x","Ferdig",IF($L44="x","Mest ferdig",IF($J44&lt;&gt;"","Pågår","Ikke startet"))))</f>
        <v/>
      </c>
      <c r="P44" s="12" t="inlineStr">
        <is>
          <t>Ikke sendt</t>
        </is>
      </c>
      <c r="Q44" s="15">
        <f>IF($D44="","",IFERROR(VLOOKUP($O44,Lists!$A$2:$B$6,2,FALSE),0))</f>
        <v/>
      </c>
      <c r="R44" s="16">
        <f>IF($I44="","",$I44-TODAY())</f>
        <v/>
      </c>
      <c r="S44" s="12">
        <f>IF(AND($I44&lt;&gt;"",$I44&lt;TODAY(),NOT(OR($O44="Ferdig",$O44="Korrekturlest"))),"OVERDUE","")</f>
        <v/>
      </c>
      <c r="T44" s="12" t="inlineStr">
        <is>
          <t>Middels</t>
        </is>
      </c>
      <c r="U44" s="12" t="inlineStr"/>
      <c r="V44" s="12" t="inlineStr"/>
      <c r="W44" s="12" t="inlineStr"/>
      <c r="X44" s="14" t="inlineStr"/>
    </row>
    <row r="45" ht="20" customHeight="1">
      <c r="A45" s="12" t="inlineStr"/>
      <c r="B45" s="12" t="inlineStr"/>
      <c r="C45" s="12" t="inlineStr"/>
      <c r="D45" s="12" t="inlineStr"/>
      <c r="E45" s="6" t="inlineStr"/>
      <c r="F45" s="13" t="inlineStr"/>
      <c r="G45" s="13" t="inlineStr"/>
      <c r="H45" s="14" t="inlineStr"/>
      <c r="I45" s="14" t="inlineStr"/>
      <c r="J45" s="14" t="inlineStr"/>
      <c r="K45" s="14" t="inlineStr"/>
      <c r="L45" s="12" t="inlineStr"/>
      <c r="M45" s="12" t="inlineStr"/>
      <c r="N45" s="12" t="inlineStr"/>
      <c r="O45" s="12">
        <f>IF($N45="x","Korrekturlest",IF($M45="x","Ferdig",IF($L45="x","Mest ferdig",IF($J45&lt;&gt;"","Pågår","Ikke startet"))))</f>
        <v/>
      </c>
      <c r="P45" s="12" t="inlineStr">
        <is>
          <t>Ikke sendt</t>
        </is>
      </c>
      <c r="Q45" s="15">
        <f>IF($D45="","",IFERROR(VLOOKUP($O45,Lists!$A$2:$B$6,2,FALSE),0))</f>
        <v/>
      </c>
      <c r="R45" s="16">
        <f>IF($I45="","",$I45-TODAY())</f>
        <v/>
      </c>
      <c r="S45" s="12">
        <f>IF(AND($I45&lt;&gt;"",$I45&lt;TODAY(),NOT(OR($O45="Ferdig",$O45="Korrekturlest"))),"OVERDUE","")</f>
        <v/>
      </c>
      <c r="T45" s="12" t="inlineStr">
        <is>
          <t>Middels</t>
        </is>
      </c>
      <c r="U45" s="12" t="inlineStr"/>
      <c r="V45" s="12" t="inlineStr"/>
      <c r="W45" s="12" t="inlineStr"/>
      <c r="X45" s="14" t="inlineStr"/>
    </row>
    <row r="46" ht="20" customHeight="1">
      <c r="A46" s="12" t="inlineStr"/>
      <c r="B46" s="12" t="inlineStr"/>
      <c r="C46" s="12" t="inlineStr"/>
      <c r="D46" s="12" t="inlineStr"/>
      <c r="E46" s="6" t="inlineStr"/>
      <c r="F46" s="13" t="inlineStr"/>
      <c r="G46" s="13" t="inlineStr"/>
      <c r="H46" s="14" t="inlineStr"/>
      <c r="I46" s="14" t="inlineStr"/>
      <c r="J46" s="14" t="inlineStr"/>
      <c r="K46" s="14" t="inlineStr"/>
      <c r="L46" s="12" t="inlineStr"/>
      <c r="M46" s="12" t="inlineStr"/>
      <c r="N46" s="12" t="inlineStr"/>
      <c r="O46" s="12">
        <f>IF($N46="x","Korrekturlest",IF($M46="x","Ferdig",IF($L46="x","Mest ferdig",IF($J46&lt;&gt;"","Pågår","Ikke startet"))))</f>
        <v/>
      </c>
      <c r="P46" s="12" t="inlineStr">
        <is>
          <t>Ikke sendt</t>
        </is>
      </c>
      <c r="Q46" s="15">
        <f>IF($D46="","",IFERROR(VLOOKUP($O46,Lists!$A$2:$B$6,2,FALSE),0))</f>
        <v/>
      </c>
      <c r="R46" s="16">
        <f>IF($I46="","",$I46-TODAY())</f>
        <v/>
      </c>
      <c r="S46" s="12">
        <f>IF(AND($I46&lt;&gt;"",$I46&lt;TODAY(),NOT(OR($O46="Ferdig",$O46="Korrekturlest"))),"OVERDUE","")</f>
        <v/>
      </c>
      <c r="T46" s="12" t="inlineStr">
        <is>
          <t>Middels</t>
        </is>
      </c>
      <c r="U46" s="12" t="inlineStr"/>
      <c r="V46" s="12" t="inlineStr"/>
      <c r="W46" s="12" t="inlineStr"/>
      <c r="X46" s="14" t="inlineStr"/>
    </row>
    <row r="47" ht="20" customHeight="1">
      <c r="A47" s="12" t="inlineStr"/>
      <c r="B47" s="12" t="inlineStr"/>
      <c r="C47" s="12" t="inlineStr"/>
      <c r="D47" s="12" t="inlineStr"/>
      <c r="E47" s="6" t="inlineStr"/>
      <c r="F47" s="13" t="inlineStr"/>
      <c r="G47" s="13" t="inlineStr"/>
      <c r="H47" s="14" t="inlineStr"/>
      <c r="I47" s="14" t="inlineStr"/>
      <c r="J47" s="14" t="inlineStr"/>
      <c r="K47" s="14" t="inlineStr"/>
      <c r="L47" s="12" t="inlineStr"/>
      <c r="M47" s="12" t="inlineStr"/>
      <c r="N47" s="12" t="inlineStr"/>
      <c r="O47" s="12">
        <f>IF($N47="x","Korrekturlest",IF($M47="x","Ferdig",IF($L47="x","Mest ferdig",IF($J47&lt;&gt;"","Pågår","Ikke startet"))))</f>
        <v/>
      </c>
      <c r="P47" s="12" t="inlineStr">
        <is>
          <t>Ikke sendt</t>
        </is>
      </c>
      <c r="Q47" s="15">
        <f>IF($D47="","",IFERROR(VLOOKUP($O47,Lists!$A$2:$B$6,2,FALSE),0))</f>
        <v/>
      </c>
      <c r="R47" s="16">
        <f>IF($I47="","",$I47-TODAY())</f>
        <v/>
      </c>
      <c r="S47" s="12">
        <f>IF(AND($I47&lt;&gt;"",$I47&lt;TODAY(),NOT(OR($O47="Ferdig",$O47="Korrekturlest"))),"OVERDUE","")</f>
        <v/>
      </c>
      <c r="T47" s="12" t="inlineStr">
        <is>
          <t>Middels</t>
        </is>
      </c>
      <c r="U47" s="12" t="inlineStr"/>
      <c r="V47" s="12" t="inlineStr"/>
      <c r="W47" s="12" t="inlineStr"/>
      <c r="X47" s="14" t="inlineStr"/>
    </row>
    <row r="48" ht="20" customHeight="1">
      <c r="A48" s="12" t="inlineStr"/>
      <c r="B48" s="12" t="inlineStr"/>
      <c r="C48" s="12" t="inlineStr"/>
      <c r="D48" s="12" t="inlineStr"/>
      <c r="E48" s="6" t="inlineStr"/>
      <c r="F48" s="13" t="inlineStr"/>
      <c r="G48" s="13" t="inlineStr"/>
      <c r="H48" s="14" t="inlineStr"/>
      <c r="I48" s="14" t="inlineStr"/>
      <c r="J48" s="14" t="inlineStr"/>
      <c r="K48" s="14" t="inlineStr"/>
      <c r="L48" s="12" t="inlineStr"/>
      <c r="M48" s="12" t="inlineStr"/>
      <c r="N48" s="12" t="inlineStr"/>
      <c r="O48" s="12">
        <f>IF($N48="x","Korrekturlest",IF($M48="x","Ferdig",IF($L48="x","Mest ferdig",IF($J48&lt;&gt;"","Pågår","Ikke startet"))))</f>
        <v/>
      </c>
      <c r="P48" s="12" t="inlineStr">
        <is>
          <t>Ikke sendt</t>
        </is>
      </c>
      <c r="Q48" s="15">
        <f>IF($D48="","",IFERROR(VLOOKUP($O48,Lists!$A$2:$B$6,2,FALSE),0))</f>
        <v/>
      </c>
      <c r="R48" s="16">
        <f>IF($I48="","",$I48-TODAY())</f>
        <v/>
      </c>
      <c r="S48" s="12">
        <f>IF(AND($I48&lt;&gt;"",$I48&lt;TODAY(),NOT(OR($O48="Ferdig",$O48="Korrekturlest"))),"OVERDUE","")</f>
        <v/>
      </c>
      <c r="T48" s="12" t="inlineStr">
        <is>
          <t>Middels</t>
        </is>
      </c>
      <c r="U48" s="12" t="inlineStr"/>
      <c r="V48" s="12" t="inlineStr"/>
      <c r="W48" s="12" t="inlineStr"/>
      <c r="X48" s="14" t="inlineStr"/>
    </row>
    <row r="49" ht="20" customHeight="1">
      <c r="A49" s="12" t="inlineStr"/>
      <c r="B49" s="12" t="inlineStr"/>
      <c r="C49" s="12" t="inlineStr"/>
      <c r="D49" s="12" t="inlineStr"/>
      <c r="E49" s="6" t="inlineStr"/>
      <c r="F49" s="13" t="inlineStr"/>
      <c r="G49" s="13" t="inlineStr"/>
      <c r="H49" s="14" t="inlineStr"/>
      <c r="I49" s="14" t="inlineStr"/>
      <c r="J49" s="14" t="inlineStr"/>
      <c r="K49" s="14" t="inlineStr"/>
      <c r="L49" s="12" t="inlineStr"/>
      <c r="M49" s="12" t="inlineStr"/>
      <c r="N49" s="12" t="inlineStr"/>
      <c r="O49" s="12">
        <f>IF($N49="x","Korrekturlest",IF($M49="x","Ferdig",IF($L49="x","Mest ferdig",IF($J49&lt;&gt;"","Pågår","Ikke startet"))))</f>
        <v/>
      </c>
      <c r="P49" s="12" t="inlineStr">
        <is>
          <t>Ikke sendt</t>
        </is>
      </c>
      <c r="Q49" s="15">
        <f>IF($D49="","",IFERROR(VLOOKUP($O49,Lists!$A$2:$B$6,2,FALSE),0))</f>
        <v/>
      </c>
      <c r="R49" s="16">
        <f>IF($I49="","",$I49-TODAY())</f>
        <v/>
      </c>
      <c r="S49" s="12">
        <f>IF(AND($I49&lt;&gt;"",$I49&lt;TODAY(),NOT(OR($O49="Ferdig",$O49="Korrekturlest"))),"OVERDUE","")</f>
        <v/>
      </c>
      <c r="T49" s="12" t="inlineStr">
        <is>
          <t>Middels</t>
        </is>
      </c>
      <c r="U49" s="12" t="inlineStr"/>
      <c r="V49" s="12" t="inlineStr"/>
      <c r="W49" s="12" t="inlineStr"/>
      <c r="X49" s="14" t="inlineStr"/>
    </row>
    <row r="50" ht="20" customHeight="1">
      <c r="A50" s="12" t="inlineStr"/>
      <c r="B50" s="12" t="inlineStr"/>
      <c r="C50" s="12" t="inlineStr"/>
      <c r="D50" s="12" t="inlineStr"/>
      <c r="E50" s="6" t="inlineStr"/>
      <c r="F50" s="13" t="inlineStr"/>
      <c r="G50" s="13" t="inlineStr"/>
      <c r="H50" s="14" t="inlineStr"/>
      <c r="I50" s="14" t="inlineStr"/>
      <c r="J50" s="14" t="inlineStr"/>
      <c r="K50" s="14" t="inlineStr"/>
      <c r="L50" s="12" t="inlineStr"/>
      <c r="M50" s="12" t="inlineStr"/>
      <c r="N50" s="12" t="inlineStr"/>
      <c r="O50" s="12">
        <f>IF($N50="x","Korrekturlest",IF($M50="x","Ferdig",IF($L50="x","Mest ferdig",IF($J50&lt;&gt;"","Pågår","Ikke startet"))))</f>
        <v/>
      </c>
      <c r="P50" s="12" t="inlineStr">
        <is>
          <t>Ikke sendt</t>
        </is>
      </c>
      <c r="Q50" s="15">
        <f>IF($D50="","",IFERROR(VLOOKUP($O50,Lists!$A$2:$B$6,2,FALSE),0))</f>
        <v/>
      </c>
      <c r="R50" s="16">
        <f>IF($I50="","",$I50-TODAY())</f>
        <v/>
      </c>
      <c r="S50" s="12">
        <f>IF(AND($I50&lt;&gt;"",$I50&lt;TODAY(),NOT(OR($O50="Ferdig",$O50="Korrekturlest"))),"OVERDUE","")</f>
        <v/>
      </c>
      <c r="T50" s="12" t="inlineStr">
        <is>
          <t>Middels</t>
        </is>
      </c>
      <c r="U50" s="12" t="inlineStr"/>
      <c r="V50" s="12" t="inlineStr"/>
      <c r="W50" s="12" t="inlineStr"/>
      <c r="X50" s="14" t="inlineStr"/>
    </row>
    <row r="51" ht="20" customHeight="1">
      <c r="A51" s="12" t="inlineStr"/>
      <c r="B51" s="12" t="inlineStr"/>
      <c r="C51" s="12" t="inlineStr"/>
      <c r="D51" s="12" t="inlineStr"/>
      <c r="E51" s="6" t="inlineStr"/>
      <c r="F51" s="13" t="inlineStr"/>
      <c r="G51" s="13" t="inlineStr"/>
      <c r="H51" s="14" t="inlineStr"/>
      <c r="I51" s="14" t="inlineStr"/>
      <c r="J51" s="14" t="inlineStr"/>
      <c r="K51" s="14" t="inlineStr"/>
      <c r="L51" s="12" t="inlineStr"/>
      <c r="M51" s="12" t="inlineStr"/>
      <c r="N51" s="12" t="inlineStr"/>
      <c r="O51" s="12">
        <f>IF($N51="x","Korrekturlest",IF($M51="x","Ferdig",IF($L51="x","Mest ferdig",IF($J51&lt;&gt;"","Pågår","Ikke startet"))))</f>
        <v/>
      </c>
      <c r="P51" s="12" t="inlineStr">
        <is>
          <t>Ikke sendt</t>
        </is>
      </c>
      <c r="Q51" s="15">
        <f>IF($D51="","",IFERROR(VLOOKUP($O51,Lists!$A$2:$B$6,2,FALSE),0))</f>
        <v/>
      </c>
      <c r="R51" s="16">
        <f>IF($I51="","",$I51-TODAY())</f>
        <v/>
      </c>
      <c r="S51" s="12">
        <f>IF(AND($I51&lt;&gt;"",$I51&lt;TODAY(),NOT(OR($O51="Ferdig",$O51="Korrekturlest"))),"OVERDUE","")</f>
        <v/>
      </c>
      <c r="T51" s="12" t="inlineStr">
        <is>
          <t>Middels</t>
        </is>
      </c>
      <c r="U51" s="12" t="inlineStr"/>
      <c r="V51" s="12" t="inlineStr"/>
      <c r="W51" s="12" t="inlineStr"/>
      <c r="X51" s="14" t="inlineStr"/>
    </row>
    <row r="52" ht="20" customHeight="1">
      <c r="A52" s="12" t="inlineStr"/>
      <c r="B52" s="12" t="inlineStr"/>
      <c r="C52" s="12" t="inlineStr"/>
      <c r="D52" s="12" t="inlineStr"/>
      <c r="E52" s="6" t="inlineStr"/>
      <c r="F52" s="13" t="inlineStr"/>
      <c r="G52" s="13" t="inlineStr"/>
      <c r="H52" s="14" t="inlineStr"/>
      <c r="I52" s="14" t="inlineStr"/>
      <c r="J52" s="14" t="inlineStr"/>
      <c r="K52" s="14" t="inlineStr"/>
      <c r="L52" s="12" t="inlineStr"/>
      <c r="M52" s="12" t="inlineStr"/>
      <c r="N52" s="12" t="inlineStr"/>
      <c r="O52" s="12">
        <f>IF($N52="x","Korrekturlest",IF($M52="x","Ferdig",IF($L52="x","Mest ferdig",IF($J52&lt;&gt;"","Pågår","Ikke startet"))))</f>
        <v/>
      </c>
      <c r="P52" s="12" t="inlineStr">
        <is>
          <t>Ikke sendt</t>
        </is>
      </c>
      <c r="Q52" s="15">
        <f>IF($D52="","",IFERROR(VLOOKUP($O52,Lists!$A$2:$B$6,2,FALSE),0))</f>
        <v/>
      </c>
      <c r="R52" s="16">
        <f>IF($I52="","",$I52-TODAY())</f>
        <v/>
      </c>
      <c r="S52" s="12">
        <f>IF(AND($I52&lt;&gt;"",$I52&lt;TODAY(),NOT(OR($O52="Ferdig",$O52="Korrekturlest"))),"OVERDUE","")</f>
        <v/>
      </c>
      <c r="T52" s="12" t="inlineStr">
        <is>
          <t>Middels</t>
        </is>
      </c>
      <c r="U52" s="12" t="inlineStr"/>
      <c r="V52" s="12" t="inlineStr"/>
      <c r="W52" s="12" t="inlineStr"/>
      <c r="X52" s="14" t="inlineStr"/>
    </row>
    <row r="53" ht="20" customHeight="1">
      <c r="A53" s="12" t="inlineStr"/>
      <c r="B53" s="12" t="inlineStr"/>
      <c r="C53" s="12" t="inlineStr"/>
      <c r="D53" s="12" t="inlineStr"/>
      <c r="E53" s="6" t="inlineStr"/>
      <c r="F53" s="13" t="inlineStr"/>
      <c r="G53" s="13" t="inlineStr"/>
      <c r="H53" s="14" t="inlineStr"/>
      <c r="I53" s="14" t="inlineStr"/>
      <c r="J53" s="14" t="inlineStr"/>
      <c r="K53" s="14" t="inlineStr"/>
      <c r="L53" s="12" t="inlineStr"/>
      <c r="M53" s="12" t="inlineStr"/>
      <c r="N53" s="12" t="inlineStr"/>
      <c r="O53" s="12">
        <f>IF($N53="x","Korrekturlest",IF($M53="x","Ferdig",IF($L53="x","Mest ferdig",IF($J53&lt;&gt;"","Pågår","Ikke startet"))))</f>
        <v/>
      </c>
      <c r="P53" s="12" t="inlineStr">
        <is>
          <t>Ikke sendt</t>
        </is>
      </c>
      <c r="Q53" s="15">
        <f>IF($D53="","",IFERROR(VLOOKUP($O53,Lists!$A$2:$B$6,2,FALSE),0))</f>
        <v/>
      </c>
      <c r="R53" s="16">
        <f>IF($I53="","",$I53-TODAY())</f>
        <v/>
      </c>
      <c r="S53" s="12">
        <f>IF(AND($I53&lt;&gt;"",$I53&lt;TODAY(),NOT(OR($O53="Ferdig",$O53="Korrekturlest"))),"OVERDUE","")</f>
        <v/>
      </c>
      <c r="T53" s="12" t="inlineStr">
        <is>
          <t>Middels</t>
        </is>
      </c>
      <c r="U53" s="12" t="inlineStr"/>
      <c r="V53" s="12" t="inlineStr"/>
      <c r="W53" s="12" t="inlineStr"/>
      <c r="X53" s="14" t="inlineStr"/>
    </row>
    <row r="54" ht="20" customHeight="1">
      <c r="A54" s="12" t="inlineStr"/>
      <c r="B54" s="12" t="inlineStr"/>
      <c r="C54" s="12" t="inlineStr"/>
      <c r="D54" s="12" t="inlineStr"/>
      <c r="E54" s="6" t="inlineStr"/>
      <c r="F54" s="13" t="inlineStr"/>
      <c r="G54" s="13" t="inlineStr"/>
      <c r="H54" s="14" t="inlineStr"/>
      <c r="I54" s="14" t="inlineStr"/>
      <c r="J54" s="14" t="inlineStr"/>
      <c r="K54" s="14" t="inlineStr"/>
      <c r="L54" s="12" t="inlineStr"/>
      <c r="M54" s="12" t="inlineStr"/>
      <c r="N54" s="12" t="inlineStr"/>
      <c r="O54" s="12">
        <f>IF($N54="x","Korrekturlest",IF($M54="x","Ferdig",IF($L54="x","Mest ferdig",IF($J54&lt;&gt;"","Pågår","Ikke startet"))))</f>
        <v/>
      </c>
      <c r="P54" s="12" t="inlineStr">
        <is>
          <t>Ikke sendt</t>
        </is>
      </c>
      <c r="Q54" s="15">
        <f>IF($D54="","",IFERROR(VLOOKUP($O54,Lists!$A$2:$B$6,2,FALSE),0))</f>
        <v/>
      </c>
      <c r="R54" s="16">
        <f>IF($I54="","",$I54-TODAY())</f>
        <v/>
      </c>
      <c r="S54" s="12">
        <f>IF(AND($I54&lt;&gt;"",$I54&lt;TODAY(),NOT(OR($O54="Ferdig",$O54="Korrekturlest"))),"OVERDUE","")</f>
        <v/>
      </c>
      <c r="T54" s="12" t="inlineStr">
        <is>
          <t>Middels</t>
        </is>
      </c>
      <c r="U54" s="12" t="inlineStr"/>
      <c r="V54" s="12" t="inlineStr"/>
      <c r="W54" s="12" t="inlineStr"/>
      <c r="X54" s="14" t="inlineStr"/>
    </row>
    <row r="55" ht="20" customHeight="1">
      <c r="A55" s="12" t="inlineStr"/>
      <c r="B55" s="12" t="inlineStr"/>
      <c r="C55" s="12" t="inlineStr"/>
      <c r="D55" s="12" t="inlineStr"/>
      <c r="E55" s="6" t="inlineStr"/>
      <c r="F55" s="13" t="inlineStr"/>
      <c r="G55" s="13" t="inlineStr"/>
      <c r="H55" s="14" t="inlineStr"/>
      <c r="I55" s="14" t="inlineStr"/>
      <c r="J55" s="14" t="inlineStr"/>
      <c r="K55" s="14" t="inlineStr"/>
      <c r="L55" s="12" t="inlineStr"/>
      <c r="M55" s="12" t="inlineStr"/>
      <c r="N55" s="12" t="inlineStr"/>
      <c r="O55" s="12">
        <f>IF($N55="x","Korrekturlest",IF($M55="x","Ferdig",IF($L55="x","Mest ferdig",IF($J55&lt;&gt;"","Pågår","Ikke startet"))))</f>
        <v/>
      </c>
      <c r="P55" s="12" t="inlineStr">
        <is>
          <t>Ikke sendt</t>
        </is>
      </c>
      <c r="Q55" s="15">
        <f>IF($D55="","",IFERROR(VLOOKUP($O55,Lists!$A$2:$B$6,2,FALSE),0))</f>
        <v/>
      </c>
      <c r="R55" s="16">
        <f>IF($I55="","",$I55-TODAY())</f>
        <v/>
      </c>
      <c r="S55" s="12">
        <f>IF(AND($I55&lt;&gt;"",$I55&lt;TODAY(),NOT(OR($O55="Ferdig",$O55="Korrekturlest"))),"OVERDUE","")</f>
        <v/>
      </c>
      <c r="T55" s="12" t="inlineStr">
        <is>
          <t>Middels</t>
        </is>
      </c>
      <c r="U55" s="12" t="inlineStr"/>
      <c r="V55" s="12" t="inlineStr"/>
      <c r="W55" s="12" t="inlineStr"/>
      <c r="X55" s="14" t="inlineStr"/>
    </row>
    <row r="56" ht="20" customHeight="1">
      <c r="A56" s="12" t="inlineStr"/>
      <c r="B56" s="12" t="inlineStr"/>
      <c r="C56" s="12" t="inlineStr"/>
      <c r="D56" s="12" t="inlineStr"/>
      <c r="E56" s="6" t="inlineStr"/>
      <c r="F56" s="13" t="inlineStr"/>
      <c r="G56" s="13" t="inlineStr"/>
      <c r="H56" s="14" t="inlineStr"/>
      <c r="I56" s="14" t="inlineStr"/>
      <c r="J56" s="14" t="inlineStr"/>
      <c r="K56" s="14" t="inlineStr"/>
      <c r="L56" s="12" t="inlineStr"/>
      <c r="M56" s="12" t="inlineStr"/>
      <c r="N56" s="12" t="inlineStr"/>
      <c r="O56" s="12">
        <f>IF($N56="x","Korrekturlest",IF($M56="x","Ferdig",IF($L56="x","Mest ferdig",IF($J56&lt;&gt;"","Pågår","Ikke startet"))))</f>
        <v/>
      </c>
      <c r="P56" s="12" t="inlineStr">
        <is>
          <t>Ikke sendt</t>
        </is>
      </c>
      <c r="Q56" s="15">
        <f>IF($D56="","",IFERROR(VLOOKUP($O56,Lists!$A$2:$B$6,2,FALSE),0))</f>
        <v/>
      </c>
      <c r="R56" s="16">
        <f>IF($I56="","",$I56-TODAY())</f>
        <v/>
      </c>
      <c r="S56" s="12">
        <f>IF(AND($I56&lt;&gt;"",$I56&lt;TODAY(),NOT(OR($O56="Ferdig",$O56="Korrekturlest"))),"OVERDUE","")</f>
        <v/>
      </c>
      <c r="T56" s="12" t="inlineStr">
        <is>
          <t>Middels</t>
        </is>
      </c>
      <c r="U56" s="12" t="inlineStr"/>
      <c r="V56" s="12" t="inlineStr"/>
      <c r="W56" s="12" t="inlineStr"/>
      <c r="X56" s="14" t="inlineStr"/>
    </row>
    <row r="57" ht="20" customHeight="1">
      <c r="A57" s="12" t="inlineStr"/>
      <c r="B57" s="12" t="inlineStr"/>
      <c r="C57" s="12" t="inlineStr"/>
      <c r="D57" s="12" t="inlineStr"/>
      <c r="E57" s="6" t="inlineStr"/>
      <c r="F57" s="13" t="inlineStr"/>
      <c r="G57" s="13" t="inlineStr"/>
      <c r="H57" s="14" t="inlineStr"/>
      <c r="I57" s="14" t="inlineStr"/>
      <c r="J57" s="14" t="inlineStr"/>
      <c r="K57" s="14" t="inlineStr"/>
      <c r="L57" s="12" t="inlineStr"/>
      <c r="M57" s="12" t="inlineStr"/>
      <c r="N57" s="12" t="inlineStr"/>
      <c r="O57" s="12">
        <f>IF($N57="x","Korrekturlest",IF($M57="x","Ferdig",IF($L57="x","Mest ferdig",IF($J57&lt;&gt;"","Pågår","Ikke startet"))))</f>
        <v/>
      </c>
      <c r="P57" s="12" t="inlineStr">
        <is>
          <t>Ikke sendt</t>
        </is>
      </c>
      <c r="Q57" s="15">
        <f>IF($D57="","",IFERROR(VLOOKUP($O57,Lists!$A$2:$B$6,2,FALSE),0))</f>
        <v/>
      </c>
      <c r="R57" s="16">
        <f>IF($I57="","",$I57-TODAY())</f>
        <v/>
      </c>
      <c r="S57" s="12">
        <f>IF(AND($I57&lt;&gt;"",$I57&lt;TODAY(),NOT(OR($O57="Ferdig",$O57="Korrekturlest"))),"OVERDUE","")</f>
        <v/>
      </c>
      <c r="T57" s="12" t="inlineStr">
        <is>
          <t>Middels</t>
        </is>
      </c>
      <c r="U57" s="12" t="inlineStr"/>
      <c r="V57" s="12" t="inlineStr"/>
      <c r="W57" s="12" t="inlineStr"/>
      <c r="X57" s="14" t="inlineStr"/>
    </row>
    <row r="58" ht="20" customHeight="1">
      <c r="A58" s="12" t="inlineStr"/>
      <c r="B58" s="12" t="inlineStr"/>
      <c r="C58" s="12" t="inlineStr"/>
      <c r="D58" s="12" t="inlineStr"/>
      <c r="E58" s="6" t="inlineStr"/>
      <c r="F58" s="13" t="inlineStr"/>
      <c r="G58" s="13" t="inlineStr"/>
      <c r="H58" s="14" t="inlineStr"/>
      <c r="I58" s="14" t="inlineStr"/>
      <c r="J58" s="14" t="inlineStr"/>
      <c r="K58" s="14" t="inlineStr"/>
      <c r="L58" s="12" t="inlineStr"/>
      <c r="M58" s="12" t="inlineStr"/>
      <c r="N58" s="12" t="inlineStr"/>
      <c r="O58" s="12">
        <f>IF($N58="x","Korrekturlest",IF($M58="x","Ferdig",IF($L58="x","Mest ferdig",IF($J58&lt;&gt;"","Pågår","Ikke startet"))))</f>
        <v/>
      </c>
      <c r="P58" s="12" t="inlineStr">
        <is>
          <t>Ikke sendt</t>
        </is>
      </c>
      <c r="Q58" s="15">
        <f>IF($D58="","",IFERROR(VLOOKUP($O58,Lists!$A$2:$B$6,2,FALSE),0))</f>
        <v/>
      </c>
      <c r="R58" s="16">
        <f>IF($I58="","",$I58-TODAY())</f>
        <v/>
      </c>
      <c r="S58" s="12">
        <f>IF(AND($I58&lt;&gt;"",$I58&lt;TODAY(),NOT(OR($O58="Ferdig",$O58="Korrekturlest"))),"OVERDUE","")</f>
        <v/>
      </c>
      <c r="T58" s="12" t="inlineStr">
        <is>
          <t>Middels</t>
        </is>
      </c>
      <c r="U58" s="12" t="inlineStr"/>
      <c r="V58" s="12" t="inlineStr"/>
      <c r="W58" s="12" t="inlineStr"/>
      <c r="X58" s="14" t="inlineStr"/>
    </row>
    <row r="59" ht="20" customHeight="1">
      <c r="A59" s="12" t="inlineStr"/>
      <c r="B59" s="12" t="inlineStr"/>
      <c r="C59" s="12" t="inlineStr"/>
      <c r="D59" s="12" t="inlineStr"/>
      <c r="E59" s="6" t="inlineStr"/>
      <c r="F59" s="13" t="inlineStr"/>
      <c r="G59" s="13" t="inlineStr"/>
      <c r="H59" s="14" t="inlineStr"/>
      <c r="I59" s="14" t="inlineStr"/>
      <c r="J59" s="14" t="inlineStr"/>
      <c r="K59" s="14" t="inlineStr"/>
      <c r="L59" s="12" t="inlineStr"/>
      <c r="M59" s="12" t="inlineStr"/>
      <c r="N59" s="12" t="inlineStr"/>
      <c r="O59" s="12">
        <f>IF($N59="x","Korrekturlest",IF($M59="x","Ferdig",IF($L59="x","Mest ferdig",IF($J59&lt;&gt;"","Pågår","Ikke startet"))))</f>
        <v/>
      </c>
      <c r="P59" s="12" t="inlineStr">
        <is>
          <t>Ikke sendt</t>
        </is>
      </c>
      <c r="Q59" s="15">
        <f>IF($D59="","",IFERROR(VLOOKUP($O59,Lists!$A$2:$B$6,2,FALSE),0))</f>
        <v/>
      </c>
      <c r="R59" s="16">
        <f>IF($I59="","",$I59-TODAY())</f>
        <v/>
      </c>
      <c r="S59" s="12">
        <f>IF(AND($I59&lt;&gt;"",$I59&lt;TODAY(),NOT(OR($O59="Ferdig",$O59="Korrekturlest"))),"OVERDUE","")</f>
        <v/>
      </c>
      <c r="T59" s="12" t="inlineStr">
        <is>
          <t>Middels</t>
        </is>
      </c>
      <c r="U59" s="12" t="inlineStr"/>
      <c r="V59" s="12" t="inlineStr"/>
      <c r="W59" s="12" t="inlineStr"/>
      <c r="X59" s="14" t="inlineStr"/>
    </row>
    <row r="60" ht="20" customHeight="1">
      <c r="A60" s="12" t="inlineStr"/>
      <c r="B60" s="12" t="inlineStr"/>
      <c r="C60" s="12" t="inlineStr"/>
      <c r="D60" s="12" t="inlineStr"/>
      <c r="E60" s="6" t="inlineStr"/>
      <c r="F60" s="13" t="inlineStr"/>
      <c r="G60" s="13" t="inlineStr"/>
      <c r="H60" s="14" t="inlineStr"/>
      <c r="I60" s="14" t="inlineStr"/>
      <c r="J60" s="14" t="inlineStr"/>
      <c r="K60" s="14" t="inlineStr"/>
      <c r="L60" s="12" t="inlineStr"/>
      <c r="M60" s="12" t="inlineStr"/>
      <c r="N60" s="12" t="inlineStr"/>
      <c r="O60" s="12">
        <f>IF($N60="x","Korrekturlest",IF($M60="x","Ferdig",IF($L60="x","Mest ferdig",IF($J60&lt;&gt;"","Pågår","Ikke startet"))))</f>
        <v/>
      </c>
      <c r="P60" s="12" t="inlineStr">
        <is>
          <t>Ikke sendt</t>
        </is>
      </c>
      <c r="Q60" s="15">
        <f>IF($D60="","",IFERROR(VLOOKUP($O60,Lists!$A$2:$B$6,2,FALSE),0))</f>
        <v/>
      </c>
      <c r="R60" s="16">
        <f>IF($I60="","",$I60-TODAY())</f>
        <v/>
      </c>
      <c r="S60" s="12">
        <f>IF(AND($I60&lt;&gt;"",$I60&lt;TODAY(),NOT(OR($O60="Ferdig",$O60="Korrekturlest"))),"OVERDUE","")</f>
        <v/>
      </c>
      <c r="T60" s="12" t="inlineStr">
        <is>
          <t>Middels</t>
        </is>
      </c>
      <c r="U60" s="12" t="inlineStr"/>
      <c r="V60" s="12" t="inlineStr"/>
      <c r="W60" s="12" t="inlineStr"/>
      <c r="X60" s="14" t="inlineStr"/>
    </row>
    <row r="61" ht="20" customHeight="1">
      <c r="A61" s="12" t="inlineStr"/>
      <c r="B61" s="12" t="inlineStr"/>
      <c r="C61" s="12" t="inlineStr"/>
      <c r="D61" s="12" t="inlineStr"/>
      <c r="E61" s="6" t="inlineStr"/>
      <c r="F61" s="13" t="inlineStr"/>
      <c r="G61" s="13" t="inlineStr"/>
      <c r="H61" s="14" t="inlineStr"/>
      <c r="I61" s="14" t="inlineStr"/>
      <c r="J61" s="14" t="inlineStr"/>
      <c r="K61" s="14" t="inlineStr"/>
      <c r="L61" s="12" t="inlineStr"/>
      <c r="M61" s="12" t="inlineStr"/>
      <c r="N61" s="12" t="inlineStr"/>
      <c r="O61" s="12">
        <f>IF($N61="x","Korrekturlest",IF($M61="x","Ferdig",IF($L61="x","Mest ferdig",IF($J61&lt;&gt;"","Pågår","Ikke startet"))))</f>
        <v/>
      </c>
      <c r="P61" s="12" t="inlineStr">
        <is>
          <t>Ikke sendt</t>
        </is>
      </c>
      <c r="Q61" s="15">
        <f>IF($D61="","",IFERROR(VLOOKUP($O61,Lists!$A$2:$B$6,2,FALSE),0))</f>
        <v/>
      </c>
      <c r="R61" s="16">
        <f>IF($I61="","",$I61-TODAY())</f>
        <v/>
      </c>
      <c r="S61" s="12">
        <f>IF(AND($I61&lt;&gt;"",$I61&lt;TODAY(),NOT(OR($O61="Ferdig",$O61="Korrekturlest"))),"OVERDUE","")</f>
        <v/>
      </c>
      <c r="T61" s="12" t="inlineStr">
        <is>
          <t>Middels</t>
        </is>
      </c>
      <c r="U61" s="12" t="inlineStr"/>
      <c r="V61" s="12" t="inlineStr"/>
      <c r="W61" s="12" t="inlineStr"/>
      <c r="X61" s="14" t="inlineStr"/>
    </row>
    <row r="62" ht="20" customHeight="1">
      <c r="A62" s="12" t="inlineStr"/>
      <c r="B62" s="12" t="inlineStr"/>
      <c r="C62" s="12" t="inlineStr"/>
      <c r="D62" s="12" t="inlineStr"/>
      <c r="E62" s="6" t="inlineStr"/>
      <c r="F62" s="13" t="inlineStr"/>
      <c r="G62" s="13" t="inlineStr"/>
      <c r="H62" s="14" t="inlineStr"/>
      <c r="I62" s="14" t="inlineStr"/>
      <c r="J62" s="14" t="inlineStr"/>
      <c r="K62" s="14" t="inlineStr"/>
      <c r="L62" s="12" t="inlineStr"/>
      <c r="M62" s="12" t="inlineStr"/>
      <c r="N62" s="12" t="inlineStr"/>
      <c r="O62" s="12">
        <f>IF($N62="x","Korrekturlest",IF($M62="x","Ferdig",IF($L62="x","Mest ferdig",IF($J62&lt;&gt;"","Pågår","Ikke startet"))))</f>
        <v/>
      </c>
      <c r="P62" s="12" t="inlineStr">
        <is>
          <t>Ikke sendt</t>
        </is>
      </c>
      <c r="Q62" s="15">
        <f>IF($D62="","",IFERROR(VLOOKUP($O62,Lists!$A$2:$B$6,2,FALSE),0))</f>
        <v/>
      </c>
      <c r="R62" s="16">
        <f>IF($I62="","",$I62-TODAY())</f>
        <v/>
      </c>
      <c r="S62" s="12">
        <f>IF(AND($I62&lt;&gt;"",$I62&lt;TODAY(),NOT(OR($O62="Ferdig",$O62="Korrekturlest"))),"OVERDUE","")</f>
        <v/>
      </c>
      <c r="T62" s="12" t="inlineStr">
        <is>
          <t>Middels</t>
        </is>
      </c>
      <c r="U62" s="12" t="inlineStr"/>
      <c r="V62" s="12" t="inlineStr"/>
      <c r="W62" s="12" t="inlineStr"/>
      <c r="X62" s="14" t="inlineStr"/>
    </row>
    <row r="63" ht="20" customHeight="1">
      <c r="A63" s="12" t="inlineStr"/>
      <c r="B63" s="12" t="inlineStr"/>
      <c r="C63" s="12" t="inlineStr"/>
      <c r="D63" s="12" t="inlineStr"/>
      <c r="E63" s="6" t="inlineStr"/>
      <c r="F63" s="13" t="inlineStr"/>
      <c r="G63" s="13" t="inlineStr"/>
      <c r="H63" s="14" t="inlineStr"/>
      <c r="I63" s="14" t="inlineStr"/>
      <c r="J63" s="14" t="inlineStr"/>
      <c r="K63" s="14" t="inlineStr"/>
      <c r="L63" s="12" t="inlineStr"/>
      <c r="M63" s="12" t="inlineStr"/>
      <c r="N63" s="12" t="inlineStr"/>
      <c r="O63" s="12">
        <f>IF($N63="x","Korrekturlest",IF($M63="x","Ferdig",IF($L63="x","Mest ferdig",IF($J63&lt;&gt;"","Pågår","Ikke startet"))))</f>
        <v/>
      </c>
      <c r="P63" s="12" t="inlineStr">
        <is>
          <t>Ikke sendt</t>
        </is>
      </c>
      <c r="Q63" s="15">
        <f>IF($D63="","",IFERROR(VLOOKUP($O63,Lists!$A$2:$B$6,2,FALSE),0))</f>
        <v/>
      </c>
      <c r="R63" s="16">
        <f>IF($I63="","",$I63-TODAY())</f>
        <v/>
      </c>
      <c r="S63" s="12">
        <f>IF(AND($I63&lt;&gt;"",$I63&lt;TODAY(),NOT(OR($O63="Ferdig",$O63="Korrekturlest"))),"OVERDUE","")</f>
        <v/>
      </c>
      <c r="T63" s="12" t="inlineStr">
        <is>
          <t>Middels</t>
        </is>
      </c>
      <c r="U63" s="12" t="inlineStr"/>
      <c r="V63" s="12" t="inlineStr"/>
      <c r="W63" s="12" t="inlineStr"/>
      <c r="X63" s="14" t="inlineStr"/>
    </row>
    <row r="64" ht="20" customHeight="1">
      <c r="A64" s="12" t="inlineStr"/>
      <c r="B64" s="12" t="inlineStr"/>
      <c r="C64" s="12" t="inlineStr"/>
      <c r="D64" s="12" t="inlineStr"/>
      <c r="E64" s="6" t="inlineStr"/>
      <c r="F64" s="13" t="inlineStr"/>
      <c r="G64" s="13" t="inlineStr"/>
      <c r="H64" s="14" t="inlineStr"/>
      <c r="I64" s="14" t="inlineStr"/>
      <c r="J64" s="14" t="inlineStr"/>
      <c r="K64" s="14" t="inlineStr"/>
      <c r="L64" s="12" t="inlineStr"/>
      <c r="M64" s="12" t="inlineStr"/>
      <c r="N64" s="12" t="inlineStr"/>
      <c r="O64" s="12">
        <f>IF($N64="x","Korrekturlest",IF($M64="x","Ferdig",IF($L64="x","Mest ferdig",IF($J64&lt;&gt;"","Pågår","Ikke startet"))))</f>
        <v/>
      </c>
      <c r="P64" s="12" t="inlineStr">
        <is>
          <t>Ikke sendt</t>
        </is>
      </c>
      <c r="Q64" s="15">
        <f>IF($D64="","",IFERROR(VLOOKUP($O64,Lists!$A$2:$B$6,2,FALSE),0))</f>
        <v/>
      </c>
      <c r="R64" s="16">
        <f>IF($I64="","",$I64-TODAY())</f>
        <v/>
      </c>
      <c r="S64" s="12">
        <f>IF(AND($I64&lt;&gt;"",$I64&lt;TODAY(),NOT(OR($O64="Ferdig",$O64="Korrekturlest"))),"OVERDUE","")</f>
        <v/>
      </c>
      <c r="T64" s="12" t="inlineStr">
        <is>
          <t>Middels</t>
        </is>
      </c>
      <c r="U64" s="12" t="inlineStr"/>
      <c r="V64" s="12" t="inlineStr"/>
      <c r="W64" s="12" t="inlineStr"/>
      <c r="X64" s="14" t="inlineStr"/>
    </row>
    <row r="65" ht="20" customHeight="1">
      <c r="A65" s="12" t="inlineStr"/>
      <c r="B65" s="12" t="inlineStr"/>
      <c r="C65" s="12" t="inlineStr"/>
      <c r="D65" s="12" t="inlineStr"/>
      <c r="E65" s="6" t="inlineStr"/>
      <c r="F65" s="13" t="inlineStr"/>
      <c r="G65" s="13" t="inlineStr"/>
      <c r="H65" s="14" t="inlineStr"/>
      <c r="I65" s="14" t="inlineStr"/>
      <c r="J65" s="14" t="inlineStr"/>
      <c r="K65" s="14" t="inlineStr"/>
      <c r="L65" s="12" t="inlineStr"/>
      <c r="M65" s="12" t="inlineStr"/>
      <c r="N65" s="12" t="inlineStr"/>
      <c r="O65" s="12">
        <f>IF($N65="x","Korrekturlest",IF($M65="x","Ferdig",IF($L65="x","Mest ferdig",IF($J65&lt;&gt;"","Pågår","Ikke startet"))))</f>
        <v/>
      </c>
      <c r="P65" s="12" t="inlineStr">
        <is>
          <t>Ikke sendt</t>
        </is>
      </c>
      <c r="Q65" s="15">
        <f>IF($D65="","",IFERROR(VLOOKUP($O65,Lists!$A$2:$B$6,2,FALSE),0))</f>
        <v/>
      </c>
      <c r="R65" s="16">
        <f>IF($I65="","",$I65-TODAY())</f>
        <v/>
      </c>
      <c r="S65" s="12">
        <f>IF(AND($I65&lt;&gt;"",$I65&lt;TODAY(),NOT(OR($O65="Ferdig",$O65="Korrekturlest"))),"OVERDUE","")</f>
        <v/>
      </c>
      <c r="T65" s="12" t="inlineStr">
        <is>
          <t>Middels</t>
        </is>
      </c>
      <c r="U65" s="12" t="inlineStr"/>
      <c r="V65" s="12" t="inlineStr"/>
      <c r="W65" s="12" t="inlineStr"/>
      <c r="X65" s="14" t="inlineStr"/>
    </row>
    <row r="66" ht="20" customHeight="1">
      <c r="A66" s="12" t="inlineStr"/>
      <c r="B66" s="12" t="inlineStr"/>
      <c r="C66" s="12" t="inlineStr"/>
      <c r="D66" s="12" t="inlineStr"/>
      <c r="E66" s="6" t="inlineStr"/>
      <c r="F66" s="13" t="inlineStr"/>
      <c r="G66" s="13" t="inlineStr"/>
      <c r="H66" s="14" t="inlineStr"/>
      <c r="I66" s="14" t="inlineStr"/>
      <c r="J66" s="14" t="inlineStr"/>
      <c r="K66" s="14" t="inlineStr"/>
      <c r="L66" s="12" t="inlineStr"/>
      <c r="M66" s="12" t="inlineStr"/>
      <c r="N66" s="12" t="inlineStr"/>
      <c r="O66" s="12">
        <f>IF($N66="x","Korrekturlest",IF($M66="x","Ferdig",IF($L66="x","Mest ferdig",IF($J66&lt;&gt;"","Pågår","Ikke startet"))))</f>
        <v/>
      </c>
      <c r="P66" s="12" t="inlineStr">
        <is>
          <t>Ikke sendt</t>
        </is>
      </c>
      <c r="Q66" s="15">
        <f>IF($D66="","",IFERROR(VLOOKUP($O66,Lists!$A$2:$B$6,2,FALSE),0))</f>
        <v/>
      </c>
      <c r="R66" s="16">
        <f>IF($I66="","",$I66-TODAY())</f>
        <v/>
      </c>
      <c r="S66" s="12">
        <f>IF(AND($I66&lt;&gt;"",$I66&lt;TODAY(),NOT(OR($O66="Ferdig",$O66="Korrekturlest"))),"OVERDUE","")</f>
        <v/>
      </c>
      <c r="T66" s="12" t="inlineStr">
        <is>
          <t>Middels</t>
        </is>
      </c>
      <c r="U66" s="12" t="inlineStr"/>
      <c r="V66" s="12" t="inlineStr"/>
      <c r="W66" s="12" t="inlineStr"/>
      <c r="X66" s="14" t="inlineStr"/>
    </row>
    <row r="67" ht="20" customHeight="1">
      <c r="A67" s="12" t="inlineStr"/>
      <c r="B67" s="12" t="inlineStr"/>
      <c r="C67" s="12" t="inlineStr"/>
      <c r="D67" s="12" t="inlineStr"/>
      <c r="E67" s="6" t="inlineStr"/>
      <c r="F67" s="13" t="inlineStr"/>
      <c r="G67" s="13" t="inlineStr"/>
      <c r="H67" s="14" t="inlineStr"/>
      <c r="I67" s="14" t="inlineStr"/>
      <c r="J67" s="14" t="inlineStr"/>
      <c r="K67" s="14" t="inlineStr"/>
      <c r="L67" s="12" t="inlineStr"/>
      <c r="M67" s="12" t="inlineStr"/>
      <c r="N67" s="12" t="inlineStr"/>
      <c r="O67" s="12">
        <f>IF($N67="x","Korrekturlest",IF($M67="x","Ferdig",IF($L67="x","Mest ferdig",IF($J67&lt;&gt;"","Pågår","Ikke startet"))))</f>
        <v/>
      </c>
      <c r="P67" s="12" t="inlineStr">
        <is>
          <t>Ikke sendt</t>
        </is>
      </c>
      <c r="Q67" s="15">
        <f>IF($D67="","",IFERROR(VLOOKUP($O67,Lists!$A$2:$B$6,2,FALSE),0))</f>
        <v/>
      </c>
      <c r="R67" s="16">
        <f>IF($I67="","",$I67-TODAY())</f>
        <v/>
      </c>
      <c r="S67" s="12">
        <f>IF(AND($I67&lt;&gt;"",$I67&lt;TODAY(),NOT(OR($O67="Ferdig",$O67="Korrekturlest"))),"OVERDUE","")</f>
        <v/>
      </c>
      <c r="T67" s="12" t="inlineStr">
        <is>
          <t>Middels</t>
        </is>
      </c>
      <c r="U67" s="12" t="inlineStr"/>
      <c r="V67" s="12" t="inlineStr"/>
      <c r="W67" s="12" t="inlineStr"/>
      <c r="X67" s="14" t="inlineStr"/>
    </row>
    <row r="68" ht="20" customHeight="1">
      <c r="A68" s="12" t="inlineStr"/>
      <c r="B68" s="12" t="inlineStr"/>
      <c r="C68" s="12" t="inlineStr"/>
      <c r="D68" s="12" t="inlineStr"/>
      <c r="E68" s="6" t="inlineStr"/>
      <c r="F68" s="13" t="inlineStr"/>
      <c r="G68" s="13" t="inlineStr"/>
      <c r="H68" s="14" t="inlineStr"/>
      <c r="I68" s="14" t="inlineStr"/>
      <c r="J68" s="14" t="inlineStr"/>
      <c r="K68" s="14" t="inlineStr"/>
      <c r="L68" s="12" t="inlineStr"/>
      <c r="M68" s="12" t="inlineStr"/>
      <c r="N68" s="12" t="inlineStr"/>
      <c r="O68" s="12">
        <f>IF($N68="x","Korrekturlest",IF($M68="x","Ferdig",IF($L68="x","Mest ferdig",IF($J68&lt;&gt;"","Pågår","Ikke startet"))))</f>
        <v/>
      </c>
      <c r="P68" s="12" t="inlineStr">
        <is>
          <t>Ikke sendt</t>
        </is>
      </c>
      <c r="Q68" s="15">
        <f>IF($D68="","",IFERROR(VLOOKUP($O68,Lists!$A$2:$B$6,2,FALSE),0))</f>
        <v/>
      </c>
      <c r="R68" s="16">
        <f>IF($I68="","",$I68-TODAY())</f>
        <v/>
      </c>
      <c r="S68" s="12">
        <f>IF(AND($I68&lt;&gt;"",$I68&lt;TODAY(),NOT(OR($O68="Ferdig",$O68="Korrekturlest"))),"OVERDUE","")</f>
        <v/>
      </c>
      <c r="T68" s="12" t="inlineStr">
        <is>
          <t>Middels</t>
        </is>
      </c>
      <c r="U68" s="12" t="inlineStr"/>
      <c r="V68" s="12" t="inlineStr"/>
      <c r="W68" s="12" t="inlineStr"/>
      <c r="X68" s="14" t="inlineStr"/>
    </row>
    <row r="69" ht="20" customHeight="1">
      <c r="A69" s="12" t="inlineStr"/>
      <c r="B69" s="12" t="inlineStr"/>
      <c r="C69" s="12" t="inlineStr"/>
      <c r="D69" s="12" t="inlineStr"/>
      <c r="E69" s="6" t="inlineStr"/>
      <c r="F69" s="13" t="inlineStr"/>
      <c r="G69" s="13" t="inlineStr"/>
      <c r="H69" s="14" t="inlineStr"/>
      <c r="I69" s="14" t="inlineStr"/>
      <c r="J69" s="14" t="inlineStr"/>
      <c r="K69" s="14" t="inlineStr"/>
      <c r="L69" s="12" t="inlineStr"/>
      <c r="M69" s="12" t="inlineStr"/>
      <c r="N69" s="12" t="inlineStr"/>
      <c r="O69" s="12">
        <f>IF($N69="x","Korrekturlest",IF($M69="x","Ferdig",IF($L69="x","Mest ferdig",IF($J69&lt;&gt;"","Pågår","Ikke startet"))))</f>
        <v/>
      </c>
      <c r="P69" s="12" t="inlineStr">
        <is>
          <t>Ikke sendt</t>
        </is>
      </c>
      <c r="Q69" s="15">
        <f>IF($D69="","",IFERROR(VLOOKUP($O69,Lists!$A$2:$B$6,2,FALSE),0))</f>
        <v/>
      </c>
      <c r="R69" s="16">
        <f>IF($I69="","",$I69-TODAY())</f>
        <v/>
      </c>
      <c r="S69" s="12">
        <f>IF(AND($I69&lt;&gt;"",$I69&lt;TODAY(),NOT(OR($O69="Ferdig",$O69="Korrekturlest"))),"OVERDUE","")</f>
        <v/>
      </c>
      <c r="T69" s="12" t="inlineStr">
        <is>
          <t>Middels</t>
        </is>
      </c>
      <c r="U69" s="12" t="inlineStr"/>
      <c r="V69" s="12" t="inlineStr"/>
      <c r="W69" s="12" t="inlineStr"/>
      <c r="X69" s="14" t="inlineStr"/>
    </row>
    <row r="70" ht="20" customHeight="1">
      <c r="A70" s="12" t="inlineStr"/>
      <c r="B70" s="12" t="inlineStr"/>
      <c r="C70" s="12" t="inlineStr"/>
      <c r="D70" s="12" t="inlineStr"/>
      <c r="E70" s="6" t="inlineStr"/>
      <c r="F70" s="13" t="inlineStr"/>
      <c r="G70" s="13" t="inlineStr"/>
      <c r="H70" s="14" t="inlineStr"/>
      <c r="I70" s="14" t="inlineStr"/>
      <c r="J70" s="14" t="inlineStr"/>
      <c r="K70" s="14" t="inlineStr"/>
      <c r="L70" s="12" t="inlineStr"/>
      <c r="M70" s="12" t="inlineStr"/>
      <c r="N70" s="12" t="inlineStr"/>
      <c r="O70" s="12">
        <f>IF($N70="x","Korrekturlest",IF($M70="x","Ferdig",IF($L70="x","Mest ferdig",IF($J70&lt;&gt;"","Pågår","Ikke startet"))))</f>
        <v/>
      </c>
      <c r="P70" s="12" t="inlineStr">
        <is>
          <t>Ikke sendt</t>
        </is>
      </c>
      <c r="Q70" s="15">
        <f>IF($D70="","",IFERROR(VLOOKUP($O70,Lists!$A$2:$B$6,2,FALSE),0))</f>
        <v/>
      </c>
      <c r="R70" s="16">
        <f>IF($I70="","",$I70-TODAY())</f>
        <v/>
      </c>
      <c r="S70" s="12">
        <f>IF(AND($I70&lt;&gt;"",$I70&lt;TODAY(),NOT(OR($O70="Ferdig",$O70="Korrekturlest"))),"OVERDUE","")</f>
        <v/>
      </c>
      <c r="T70" s="12" t="inlineStr">
        <is>
          <t>Middels</t>
        </is>
      </c>
      <c r="U70" s="12" t="inlineStr"/>
      <c r="V70" s="12" t="inlineStr"/>
      <c r="W70" s="12" t="inlineStr"/>
      <c r="X70" s="14" t="inlineStr"/>
    </row>
    <row r="71" ht="20" customHeight="1">
      <c r="A71" s="12" t="inlineStr"/>
      <c r="B71" s="12" t="inlineStr"/>
      <c r="C71" s="12" t="inlineStr"/>
      <c r="D71" s="12" t="inlineStr"/>
      <c r="E71" s="6" t="inlineStr"/>
      <c r="F71" s="13" t="inlineStr"/>
      <c r="G71" s="13" t="inlineStr"/>
      <c r="H71" s="14" t="inlineStr"/>
      <c r="I71" s="14" t="inlineStr"/>
      <c r="J71" s="14" t="inlineStr"/>
      <c r="K71" s="14" t="inlineStr"/>
      <c r="L71" s="12" t="inlineStr"/>
      <c r="M71" s="12" t="inlineStr"/>
      <c r="N71" s="12" t="inlineStr"/>
      <c r="O71" s="12">
        <f>IF($N71="x","Korrekturlest",IF($M71="x","Ferdig",IF($L71="x","Mest ferdig",IF($J71&lt;&gt;"","Pågår","Ikke startet"))))</f>
        <v/>
      </c>
      <c r="P71" s="12" t="inlineStr">
        <is>
          <t>Ikke sendt</t>
        </is>
      </c>
      <c r="Q71" s="15">
        <f>IF($D71="","",IFERROR(VLOOKUP($O71,Lists!$A$2:$B$6,2,FALSE),0))</f>
        <v/>
      </c>
      <c r="R71" s="16">
        <f>IF($I71="","",$I71-TODAY())</f>
        <v/>
      </c>
      <c r="S71" s="12">
        <f>IF(AND($I71&lt;&gt;"",$I71&lt;TODAY(),NOT(OR($O71="Ferdig",$O71="Korrekturlest"))),"OVERDUE","")</f>
        <v/>
      </c>
      <c r="T71" s="12" t="inlineStr">
        <is>
          <t>Middels</t>
        </is>
      </c>
      <c r="U71" s="12" t="inlineStr"/>
      <c r="V71" s="12" t="inlineStr"/>
      <c r="W71" s="12" t="inlineStr"/>
      <c r="X71" s="14" t="inlineStr"/>
    </row>
    <row r="72" ht="20" customHeight="1">
      <c r="A72" s="12" t="inlineStr"/>
      <c r="B72" s="12" t="inlineStr"/>
      <c r="C72" s="12" t="inlineStr"/>
      <c r="D72" s="12" t="inlineStr"/>
      <c r="E72" s="6" t="inlineStr"/>
      <c r="F72" s="13" t="inlineStr"/>
      <c r="G72" s="13" t="inlineStr"/>
      <c r="H72" s="14" t="inlineStr"/>
      <c r="I72" s="14" t="inlineStr"/>
      <c r="J72" s="14" t="inlineStr"/>
      <c r="K72" s="14" t="inlineStr"/>
      <c r="L72" s="12" t="inlineStr"/>
      <c r="M72" s="12" t="inlineStr"/>
      <c r="N72" s="12" t="inlineStr"/>
      <c r="O72" s="12">
        <f>IF($N72="x","Korrekturlest",IF($M72="x","Ferdig",IF($L72="x","Mest ferdig",IF($J72&lt;&gt;"","Pågår","Ikke startet"))))</f>
        <v/>
      </c>
      <c r="P72" s="12" t="inlineStr">
        <is>
          <t>Ikke sendt</t>
        </is>
      </c>
      <c r="Q72" s="15">
        <f>IF($D72="","",IFERROR(VLOOKUP($O72,Lists!$A$2:$B$6,2,FALSE),0))</f>
        <v/>
      </c>
      <c r="R72" s="16">
        <f>IF($I72="","",$I72-TODAY())</f>
        <v/>
      </c>
      <c r="S72" s="12">
        <f>IF(AND($I72&lt;&gt;"",$I72&lt;TODAY(),NOT(OR($O72="Ferdig",$O72="Korrekturlest"))),"OVERDUE","")</f>
        <v/>
      </c>
      <c r="T72" s="12" t="inlineStr">
        <is>
          <t>Middels</t>
        </is>
      </c>
      <c r="U72" s="12" t="inlineStr"/>
      <c r="V72" s="12" t="inlineStr"/>
      <c r="W72" s="12" t="inlineStr"/>
      <c r="X72" s="14" t="inlineStr"/>
    </row>
    <row r="73" ht="20" customHeight="1">
      <c r="A73" s="12" t="inlineStr"/>
      <c r="B73" s="12" t="inlineStr"/>
      <c r="C73" s="12" t="inlineStr"/>
      <c r="D73" s="12" t="inlineStr"/>
      <c r="E73" s="6" t="inlineStr"/>
      <c r="F73" s="13" t="inlineStr"/>
      <c r="G73" s="13" t="inlineStr"/>
      <c r="H73" s="14" t="inlineStr"/>
      <c r="I73" s="14" t="inlineStr"/>
      <c r="J73" s="14" t="inlineStr"/>
      <c r="K73" s="14" t="inlineStr"/>
      <c r="L73" s="12" t="inlineStr"/>
      <c r="M73" s="12" t="inlineStr"/>
      <c r="N73" s="12" t="inlineStr"/>
      <c r="O73" s="12">
        <f>IF($N73="x","Korrekturlest",IF($M73="x","Ferdig",IF($L73="x","Mest ferdig",IF($J73&lt;&gt;"","Pågår","Ikke startet"))))</f>
        <v/>
      </c>
      <c r="P73" s="12" t="inlineStr">
        <is>
          <t>Ikke sendt</t>
        </is>
      </c>
      <c r="Q73" s="15">
        <f>IF($D73="","",IFERROR(VLOOKUP($O73,Lists!$A$2:$B$6,2,FALSE),0))</f>
        <v/>
      </c>
      <c r="R73" s="16">
        <f>IF($I73="","",$I73-TODAY())</f>
        <v/>
      </c>
      <c r="S73" s="12">
        <f>IF(AND($I73&lt;&gt;"",$I73&lt;TODAY(),NOT(OR($O73="Ferdig",$O73="Korrekturlest"))),"OVERDUE","")</f>
        <v/>
      </c>
      <c r="T73" s="12" t="inlineStr">
        <is>
          <t>Middels</t>
        </is>
      </c>
      <c r="U73" s="12" t="inlineStr"/>
      <c r="V73" s="12" t="inlineStr"/>
      <c r="W73" s="12" t="inlineStr"/>
      <c r="X73" s="14" t="inlineStr"/>
    </row>
    <row r="74" ht="20" customHeight="1">
      <c r="A74" s="12" t="inlineStr"/>
      <c r="B74" s="12" t="inlineStr"/>
      <c r="C74" s="12" t="inlineStr"/>
      <c r="D74" s="12" t="inlineStr"/>
      <c r="E74" s="6" t="inlineStr"/>
      <c r="F74" s="13" t="inlineStr"/>
      <c r="G74" s="13" t="inlineStr"/>
      <c r="H74" s="14" t="inlineStr"/>
      <c r="I74" s="14" t="inlineStr"/>
      <c r="J74" s="14" t="inlineStr"/>
      <c r="K74" s="14" t="inlineStr"/>
      <c r="L74" s="12" t="inlineStr"/>
      <c r="M74" s="12" t="inlineStr"/>
      <c r="N74" s="12" t="inlineStr"/>
      <c r="O74" s="12">
        <f>IF($N74="x","Korrekturlest",IF($M74="x","Ferdig",IF($L74="x","Mest ferdig",IF($J74&lt;&gt;"","Pågår","Ikke startet"))))</f>
        <v/>
      </c>
      <c r="P74" s="12" t="inlineStr">
        <is>
          <t>Ikke sendt</t>
        </is>
      </c>
      <c r="Q74" s="15">
        <f>IF($D74="","",IFERROR(VLOOKUP($O74,Lists!$A$2:$B$6,2,FALSE),0))</f>
        <v/>
      </c>
      <c r="R74" s="16">
        <f>IF($I74="","",$I74-TODAY())</f>
        <v/>
      </c>
      <c r="S74" s="12">
        <f>IF(AND($I74&lt;&gt;"",$I74&lt;TODAY(),NOT(OR($O74="Ferdig",$O74="Korrekturlest"))),"OVERDUE","")</f>
        <v/>
      </c>
      <c r="T74" s="12" t="inlineStr">
        <is>
          <t>Middels</t>
        </is>
      </c>
      <c r="U74" s="12" t="inlineStr"/>
      <c r="V74" s="12" t="inlineStr"/>
      <c r="W74" s="12" t="inlineStr"/>
      <c r="X74" s="14" t="inlineStr"/>
    </row>
    <row r="75" ht="20" customHeight="1">
      <c r="A75" s="12" t="inlineStr"/>
      <c r="B75" s="12" t="inlineStr"/>
      <c r="C75" s="12" t="inlineStr"/>
      <c r="D75" s="12" t="inlineStr"/>
      <c r="E75" s="6" t="inlineStr"/>
      <c r="F75" s="13" t="inlineStr"/>
      <c r="G75" s="13" t="inlineStr"/>
      <c r="H75" s="14" t="inlineStr"/>
      <c r="I75" s="14" t="inlineStr"/>
      <c r="J75" s="14" t="inlineStr"/>
      <c r="K75" s="14" t="inlineStr"/>
      <c r="L75" s="12" t="inlineStr"/>
      <c r="M75" s="12" t="inlineStr"/>
      <c r="N75" s="12" t="inlineStr"/>
      <c r="O75" s="12">
        <f>IF($N75="x","Korrekturlest",IF($M75="x","Ferdig",IF($L75="x","Mest ferdig",IF($J75&lt;&gt;"","Pågår","Ikke startet"))))</f>
        <v/>
      </c>
      <c r="P75" s="12" t="inlineStr">
        <is>
          <t>Ikke sendt</t>
        </is>
      </c>
      <c r="Q75" s="15">
        <f>IF($D75="","",IFERROR(VLOOKUP($O75,Lists!$A$2:$B$6,2,FALSE),0))</f>
        <v/>
      </c>
      <c r="R75" s="16">
        <f>IF($I75="","",$I75-TODAY())</f>
        <v/>
      </c>
      <c r="S75" s="12">
        <f>IF(AND($I75&lt;&gt;"",$I75&lt;TODAY(),NOT(OR($O75="Ferdig",$O75="Korrekturlest"))),"OVERDUE","")</f>
        <v/>
      </c>
      <c r="T75" s="12" t="inlineStr">
        <is>
          <t>Middels</t>
        </is>
      </c>
      <c r="U75" s="12" t="inlineStr"/>
      <c r="V75" s="12" t="inlineStr"/>
      <c r="W75" s="12" t="inlineStr"/>
      <c r="X75" s="14" t="inlineStr"/>
    </row>
    <row r="76" ht="20" customHeight="1">
      <c r="A76" s="12" t="inlineStr"/>
      <c r="B76" s="12" t="inlineStr"/>
      <c r="C76" s="12" t="inlineStr"/>
      <c r="D76" s="12" t="inlineStr"/>
      <c r="E76" s="6" t="inlineStr"/>
      <c r="F76" s="13" t="inlineStr"/>
      <c r="G76" s="13" t="inlineStr"/>
      <c r="H76" s="14" t="inlineStr"/>
      <c r="I76" s="14" t="inlineStr"/>
      <c r="J76" s="14" t="inlineStr"/>
      <c r="K76" s="14" t="inlineStr"/>
      <c r="L76" s="12" t="inlineStr"/>
      <c r="M76" s="12" t="inlineStr"/>
      <c r="N76" s="12" t="inlineStr"/>
      <c r="O76" s="12">
        <f>IF($N76="x","Korrekturlest",IF($M76="x","Ferdig",IF($L76="x","Mest ferdig",IF($J76&lt;&gt;"","Pågår","Ikke startet"))))</f>
        <v/>
      </c>
      <c r="P76" s="12" t="inlineStr">
        <is>
          <t>Ikke sendt</t>
        </is>
      </c>
      <c r="Q76" s="15">
        <f>IF($D76="","",IFERROR(VLOOKUP($O76,Lists!$A$2:$B$6,2,FALSE),0))</f>
        <v/>
      </c>
      <c r="R76" s="16">
        <f>IF($I76="","",$I76-TODAY())</f>
        <v/>
      </c>
      <c r="S76" s="12">
        <f>IF(AND($I76&lt;&gt;"",$I76&lt;TODAY(),NOT(OR($O76="Ferdig",$O76="Korrekturlest"))),"OVERDUE","")</f>
        <v/>
      </c>
      <c r="T76" s="12" t="inlineStr">
        <is>
          <t>Middels</t>
        </is>
      </c>
      <c r="U76" s="12" t="inlineStr"/>
      <c r="V76" s="12" t="inlineStr"/>
      <c r="W76" s="12" t="inlineStr"/>
      <c r="X76" s="14" t="inlineStr"/>
    </row>
    <row r="77" ht="20" customHeight="1">
      <c r="A77" s="12" t="inlineStr"/>
      <c r="B77" s="12" t="inlineStr"/>
      <c r="C77" s="12" t="inlineStr"/>
      <c r="D77" s="12" t="inlineStr"/>
      <c r="E77" s="6" t="inlineStr"/>
      <c r="F77" s="13" t="inlineStr"/>
      <c r="G77" s="13" t="inlineStr"/>
      <c r="H77" s="14" t="inlineStr"/>
      <c r="I77" s="14" t="inlineStr"/>
      <c r="J77" s="14" t="inlineStr"/>
      <c r="K77" s="14" t="inlineStr"/>
      <c r="L77" s="12" t="inlineStr"/>
      <c r="M77" s="12" t="inlineStr"/>
      <c r="N77" s="12" t="inlineStr"/>
      <c r="O77" s="12">
        <f>IF($N77="x","Korrekturlest",IF($M77="x","Ferdig",IF($L77="x","Mest ferdig",IF($J77&lt;&gt;"","Pågår","Ikke startet"))))</f>
        <v/>
      </c>
      <c r="P77" s="12" t="inlineStr">
        <is>
          <t>Ikke sendt</t>
        </is>
      </c>
      <c r="Q77" s="15">
        <f>IF($D77="","",IFERROR(VLOOKUP($O77,Lists!$A$2:$B$6,2,FALSE),0))</f>
        <v/>
      </c>
      <c r="R77" s="16">
        <f>IF($I77="","",$I77-TODAY())</f>
        <v/>
      </c>
      <c r="S77" s="12">
        <f>IF(AND($I77&lt;&gt;"",$I77&lt;TODAY(),NOT(OR($O77="Ferdig",$O77="Korrekturlest"))),"OVERDUE","")</f>
        <v/>
      </c>
      <c r="T77" s="12" t="inlineStr">
        <is>
          <t>Middels</t>
        </is>
      </c>
      <c r="U77" s="12" t="inlineStr"/>
      <c r="V77" s="12" t="inlineStr"/>
      <c r="W77" s="12" t="inlineStr"/>
      <c r="X77" s="14" t="inlineStr"/>
    </row>
    <row r="78" ht="20" customHeight="1">
      <c r="A78" s="12" t="inlineStr"/>
      <c r="B78" s="12" t="inlineStr"/>
      <c r="C78" s="12" t="inlineStr"/>
      <c r="D78" s="12" t="inlineStr"/>
      <c r="E78" s="6" t="inlineStr"/>
      <c r="F78" s="13" t="inlineStr"/>
      <c r="G78" s="13" t="inlineStr"/>
      <c r="H78" s="14" t="inlineStr"/>
      <c r="I78" s="14" t="inlineStr"/>
      <c r="J78" s="14" t="inlineStr"/>
      <c r="K78" s="14" t="inlineStr"/>
      <c r="L78" s="12" t="inlineStr"/>
      <c r="M78" s="12" t="inlineStr"/>
      <c r="N78" s="12" t="inlineStr"/>
      <c r="O78" s="12">
        <f>IF($N78="x","Korrekturlest",IF($M78="x","Ferdig",IF($L78="x","Mest ferdig",IF($J78&lt;&gt;"","Pågår","Ikke startet"))))</f>
        <v/>
      </c>
      <c r="P78" s="12" t="inlineStr">
        <is>
          <t>Ikke sendt</t>
        </is>
      </c>
      <c r="Q78" s="15">
        <f>IF($D78="","",IFERROR(VLOOKUP($O78,Lists!$A$2:$B$6,2,FALSE),0))</f>
        <v/>
      </c>
      <c r="R78" s="16">
        <f>IF($I78="","",$I78-TODAY())</f>
        <v/>
      </c>
      <c r="S78" s="12">
        <f>IF(AND($I78&lt;&gt;"",$I78&lt;TODAY(),NOT(OR($O78="Ferdig",$O78="Korrekturlest"))),"OVERDUE","")</f>
        <v/>
      </c>
      <c r="T78" s="12" t="inlineStr">
        <is>
          <t>Middels</t>
        </is>
      </c>
      <c r="U78" s="12" t="inlineStr"/>
      <c r="V78" s="12" t="inlineStr"/>
      <c r="W78" s="12" t="inlineStr"/>
      <c r="X78" s="14" t="inlineStr"/>
    </row>
    <row r="79" ht="20" customHeight="1">
      <c r="A79" s="12" t="inlineStr"/>
      <c r="B79" s="12" t="inlineStr"/>
      <c r="C79" s="12" t="inlineStr"/>
      <c r="D79" s="12" t="inlineStr"/>
      <c r="E79" s="6" t="inlineStr"/>
      <c r="F79" s="13" t="inlineStr"/>
      <c r="G79" s="13" t="inlineStr"/>
      <c r="H79" s="14" t="inlineStr"/>
      <c r="I79" s="14" t="inlineStr"/>
      <c r="J79" s="14" t="inlineStr"/>
      <c r="K79" s="14" t="inlineStr"/>
      <c r="L79" s="12" t="inlineStr"/>
      <c r="M79" s="12" t="inlineStr"/>
      <c r="N79" s="12" t="inlineStr"/>
      <c r="O79" s="12">
        <f>IF($N79="x","Korrekturlest",IF($M79="x","Ferdig",IF($L79="x","Mest ferdig",IF($J79&lt;&gt;"","Pågår","Ikke startet"))))</f>
        <v/>
      </c>
      <c r="P79" s="12" t="inlineStr">
        <is>
          <t>Ikke sendt</t>
        </is>
      </c>
      <c r="Q79" s="15">
        <f>IF($D79="","",IFERROR(VLOOKUP($O79,Lists!$A$2:$B$6,2,FALSE),0))</f>
        <v/>
      </c>
      <c r="R79" s="16">
        <f>IF($I79="","",$I79-TODAY())</f>
        <v/>
      </c>
      <c r="S79" s="12">
        <f>IF(AND($I79&lt;&gt;"",$I79&lt;TODAY(),NOT(OR($O79="Ferdig",$O79="Korrekturlest"))),"OVERDUE","")</f>
        <v/>
      </c>
      <c r="T79" s="12" t="inlineStr">
        <is>
          <t>Middels</t>
        </is>
      </c>
      <c r="U79" s="12" t="inlineStr"/>
      <c r="V79" s="12" t="inlineStr"/>
      <c r="W79" s="12" t="inlineStr"/>
      <c r="X79" s="14" t="inlineStr"/>
    </row>
    <row r="80" ht="20" customHeight="1">
      <c r="A80" s="12" t="inlineStr"/>
      <c r="B80" s="12" t="inlineStr"/>
      <c r="C80" s="12" t="inlineStr"/>
      <c r="D80" s="12" t="inlineStr"/>
      <c r="E80" s="6" t="inlineStr"/>
      <c r="F80" s="13" t="inlineStr"/>
      <c r="G80" s="13" t="inlineStr"/>
      <c r="H80" s="14" t="inlineStr"/>
      <c r="I80" s="14" t="inlineStr"/>
      <c r="J80" s="14" t="inlineStr"/>
      <c r="K80" s="14" t="inlineStr"/>
      <c r="L80" s="12" t="inlineStr"/>
      <c r="M80" s="12" t="inlineStr"/>
      <c r="N80" s="12" t="inlineStr"/>
      <c r="O80" s="12">
        <f>IF($N80="x","Korrekturlest",IF($M80="x","Ferdig",IF($L80="x","Mest ferdig",IF($J80&lt;&gt;"","Pågår","Ikke startet"))))</f>
        <v/>
      </c>
      <c r="P80" s="12" t="inlineStr">
        <is>
          <t>Ikke sendt</t>
        </is>
      </c>
      <c r="Q80" s="15">
        <f>IF($D80="","",IFERROR(VLOOKUP($O80,Lists!$A$2:$B$6,2,FALSE),0))</f>
        <v/>
      </c>
      <c r="R80" s="16">
        <f>IF($I80="","",$I80-TODAY())</f>
        <v/>
      </c>
      <c r="S80" s="12">
        <f>IF(AND($I80&lt;&gt;"",$I80&lt;TODAY(),NOT(OR($O80="Ferdig",$O80="Korrekturlest"))),"OVERDUE","")</f>
        <v/>
      </c>
      <c r="T80" s="12" t="inlineStr">
        <is>
          <t>Middels</t>
        </is>
      </c>
      <c r="U80" s="12" t="inlineStr"/>
      <c r="V80" s="12" t="inlineStr"/>
      <c r="W80" s="12" t="inlineStr"/>
      <c r="X80" s="14" t="inlineStr"/>
    </row>
    <row r="81" ht="20" customHeight="1">
      <c r="A81" s="12" t="inlineStr"/>
      <c r="B81" s="12" t="inlineStr"/>
      <c r="C81" s="12" t="inlineStr"/>
      <c r="D81" s="12" t="inlineStr"/>
      <c r="E81" s="6" t="inlineStr"/>
      <c r="F81" s="13" t="inlineStr"/>
      <c r="G81" s="13" t="inlineStr"/>
      <c r="H81" s="14" t="inlineStr"/>
      <c r="I81" s="14" t="inlineStr"/>
      <c r="J81" s="14" t="inlineStr"/>
      <c r="K81" s="14" t="inlineStr"/>
      <c r="L81" s="12" t="inlineStr"/>
      <c r="M81" s="12" t="inlineStr"/>
      <c r="N81" s="12" t="inlineStr"/>
      <c r="O81" s="12">
        <f>IF($N81="x","Korrekturlest",IF($M81="x","Ferdig",IF($L81="x","Mest ferdig",IF($J81&lt;&gt;"","Pågår","Ikke startet"))))</f>
        <v/>
      </c>
      <c r="P81" s="12" t="inlineStr">
        <is>
          <t>Ikke sendt</t>
        </is>
      </c>
      <c r="Q81" s="15">
        <f>IF($D81="","",IFERROR(VLOOKUP($O81,Lists!$A$2:$B$6,2,FALSE),0))</f>
        <v/>
      </c>
      <c r="R81" s="16">
        <f>IF($I81="","",$I81-TODAY())</f>
        <v/>
      </c>
      <c r="S81" s="12">
        <f>IF(AND($I81&lt;&gt;"",$I81&lt;TODAY(),NOT(OR($O81="Ferdig",$O81="Korrekturlest"))),"OVERDUE","")</f>
        <v/>
      </c>
      <c r="T81" s="12" t="inlineStr">
        <is>
          <t>Middels</t>
        </is>
      </c>
      <c r="U81" s="12" t="inlineStr"/>
      <c r="V81" s="12" t="inlineStr"/>
      <c r="W81" s="12" t="inlineStr"/>
      <c r="X81" s="14" t="inlineStr"/>
    </row>
    <row r="82" ht="20" customHeight="1">
      <c r="A82" s="12" t="inlineStr"/>
      <c r="B82" s="12" t="inlineStr"/>
      <c r="C82" s="12" t="inlineStr"/>
      <c r="D82" s="12" t="inlineStr"/>
      <c r="E82" s="6" t="inlineStr"/>
      <c r="F82" s="13" t="inlineStr"/>
      <c r="G82" s="13" t="inlineStr"/>
      <c r="H82" s="14" t="inlineStr"/>
      <c r="I82" s="14" t="inlineStr"/>
      <c r="J82" s="14" t="inlineStr"/>
      <c r="K82" s="14" t="inlineStr"/>
      <c r="L82" s="12" t="inlineStr"/>
      <c r="M82" s="12" t="inlineStr"/>
      <c r="N82" s="12" t="inlineStr"/>
      <c r="O82" s="12">
        <f>IF($N82="x","Korrekturlest",IF($M82="x","Ferdig",IF($L82="x","Mest ferdig",IF($J82&lt;&gt;"","Pågår","Ikke startet"))))</f>
        <v/>
      </c>
      <c r="P82" s="12" t="inlineStr">
        <is>
          <t>Ikke sendt</t>
        </is>
      </c>
      <c r="Q82" s="15">
        <f>IF($D82="","",IFERROR(VLOOKUP($O82,Lists!$A$2:$B$6,2,FALSE),0))</f>
        <v/>
      </c>
      <c r="R82" s="16">
        <f>IF($I82="","",$I82-TODAY())</f>
        <v/>
      </c>
      <c r="S82" s="12">
        <f>IF(AND($I82&lt;&gt;"",$I82&lt;TODAY(),NOT(OR($O82="Ferdig",$O82="Korrekturlest"))),"OVERDUE","")</f>
        <v/>
      </c>
      <c r="T82" s="12" t="inlineStr">
        <is>
          <t>Middels</t>
        </is>
      </c>
      <c r="U82" s="12" t="inlineStr"/>
      <c r="V82" s="12" t="inlineStr"/>
      <c r="W82" s="12" t="inlineStr"/>
      <c r="X82" s="14" t="inlineStr"/>
    </row>
    <row r="83" ht="20" customHeight="1">
      <c r="A83" s="12" t="inlineStr"/>
      <c r="B83" s="12" t="inlineStr"/>
      <c r="C83" s="12" t="inlineStr"/>
      <c r="D83" s="12" t="inlineStr"/>
      <c r="E83" s="6" t="inlineStr"/>
      <c r="F83" s="13" t="inlineStr"/>
      <c r="G83" s="13" t="inlineStr"/>
      <c r="H83" s="14" t="inlineStr"/>
      <c r="I83" s="14" t="inlineStr"/>
      <c r="J83" s="14" t="inlineStr"/>
      <c r="K83" s="14" t="inlineStr"/>
      <c r="L83" s="12" t="inlineStr"/>
      <c r="M83" s="12" t="inlineStr"/>
      <c r="N83" s="12" t="inlineStr"/>
      <c r="O83" s="12">
        <f>IF($N83="x","Korrekturlest",IF($M83="x","Ferdig",IF($L83="x","Mest ferdig",IF($J83&lt;&gt;"","Pågår","Ikke startet"))))</f>
        <v/>
      </c>
      <c r="P83" s="12" t="inlineStr">
        <is>
          <t>Ikke sendt</t>
        </is>
      </c>
      <c r="Q83" s="15">
        <f>IF($D83="","",IFERROR(VLOOKUP($O83,Lists!$A$2:$B$6,2,FALSE),0))</f>
        <v/>
      </c>
      <c r="R83" s="16">
        <f>IF($I83="","",$I83-TODAY())</f>
        <v/>
      </c>
      <c r="S83" s="12">
        <f>IF(AND($I83&lt;&gt;"",$I83&lt;TODAY(),NOT(OR($O83="Ferdig",$O83="Korrekturlest"))),"OVERDUE","")</f>
        <v/>
      </c>
      <c r="T83" s="12" t="inlineStr">
        <is>
          <t>Middels</t>
        </is>
      </c>
      <c r="U83" s="12" t="inlineStr"/>
      <c r="V83" s="12" t="inlineStr"/>
      <c r="W83" s="12" t="inlineStr"/>
      <c r="X83" s="14" t="inlineStr"/>
    </row>
    <row r="84" ht="20" customHeight="1">
      <c r="A84" s="12" t="inlineStr"/>
      <c r="B84" s="12" t="inlineStr"/>
      <c r="C84" s="12" t="inlineStr"/>
      <c r="D84" s="12" t="inlineStr"/>
      <c r="E84" s="6" t="inlineStr"/>
      <c r="F84" s="13" t="inlineStr"/>
      <c r="G84" s="13" t="inlineStr"/>
      <c r="H84" s="14" t="inlineStr"/>
      <c r="I84" s="14" t="inlineStr"/>
      <c r="J84" s="14" t="inlineStr"/>
      <c r="K84" s="14" t="inlineStr"/>
      <c r="L84" s="12" t="inlineStr"/>
      <c r="M84" s="12" t="inlineStr"/>
      <c r="N84" s="12" t="inlineStr"/>
      <c r="O84" s="12">
        <f>IF($N84="x","Korrekturlest",IF($M84="x","Ferdig",IF($L84="x","Mest ferdig",IF($J84&lt;&gt;"","Pågår","Ikke startet"))))</f>
        <v/>
      </c>
      <c r="P84" s="12" t="inlineStr">
        <is>
          <t>Ikke sendt</t>
        </is>
      </c>
      <c r="Q84" s="15">
        <f>IF($D84="","",IFERROR(VLOOKUP($O84,Lists!$A$2:$B$6,2,FALSE),0))</f>
        <v/>
      </c>
      <c r="R84" s="16">
        <f>IF($I84="","",$I84-TODAY())</f>
        <v/>
      </c>
      <c r="S84" s="12">
        <f>IF(AND($I84&lt;&gt;"",$I84&lt;TODAY(),NOT(OR($O84="Ferdig",$O84="Korrekturlest"))),"OVERDUE","")</f>
        <v/>
      </c>
      <c r="T84" s="12" t="inlineStr">
        <is>
          <t>Middels</t>
        </is>
      </c>
      <c r="U84" s="12" t="inlineStr"/>
      <c r="V84" s="12" t="inlineStr"/>
      <c r="W84" s="12" t="inlineStr"/>
      <c r="X84" s="14" t="inlineStr"/>
    </row>
    <row r="85" ht="20" customHeight="1">
      <c r="A85" s="12" t="inlineStr"/>
      <c r="B85" s="12" t="inlineStr"/>
      <c r="C85" s="12" t="inlineStr"/>
      <c r="D85" s="12" t="inlineStr"/>
      <c r="E85" s="6" t="inlineStr"/>
      <c r="F85" s="13" t="inlineStr"/>
      <c r="G85" s="13" t="inlineStr"/>
      <c r="H85" s="14" t="inlineStr"/>
      <c r="I85" s="14" t="inlineStr"/>
      <c r="J85" s="14" t="inlineStr"/>
      <c r="K85" s="14" t="inlineStr"/>
      <c r="L85" s="12" t="inlineStr"/>
      <c r="M85" s="12" t="inlineStr"/>
      <c r="N85" s="12" t="inlineStr"/>
      <c r="O85" s="12">
        <f>IF($N85="x","Korrekturlest",IF($M85="x","Ferdig",IF($L85="x","Mest ferdig",IF($J85&lt;&gt;"","Pågår","Ikke startet"))))</f>
        <v/>
      </c>
      <c r="P85" s="12" t="inlineStr">
        <is>
          <t>Ikke sendt</t>
        </is>
      </c>
      <c r="Q85" s="15">
        <f>IF($D85="","",IFERROR(VLOOKUP($O85,Lists!$A$2:$B$6,2,FALSE),0))</f>
        <v/>
      </c>
      <c r="R85" s="16">
        <f>IF($I85="","",$I85-TODAY())</f>
        <v/>
      </c>
      <c r="S85" s="12">
        <f>IF(AND($I85&lt;&gt;"",$I85&lt;TODAY(),NOT(OR($O85="Ferdig",$O85="Korrekturlest"))),"OVERDUE","")</f>
        <v/>
      </c>
      <c r="T85" s="12" t="inlineStr">
        <is>
          <t>Middels</t>
        </is>
      </c>
      <c r="U85" s="12" t="inlineStr"/>
      <c r="V85" s="12" t="inlineStr"/>
      <c r="W85" s="12" t="inlineStr"/>
      <c r="X85" s="14" t="inlineStr"/>
    </row>
    <row r="86" ht="20" customHeight="1">
      <c r="A86" s="12" t="inlineStr"/>
      <c r="B86" s="12" t="inlineStr"/>
      <c r="C86" s="12" t="inlineStr"/>
      <c r="D86" s="12" t="inlineStr"/>
      <c r="E86" s="6" t="inlineStr"/>
      <c r="F86" s="13" t="inlineStr"/>
      <c r="G86" s="13" t="inlineStr"/>
      <c r="H86" s="14" t="inlineStr"/>
      <c r="I86" s="14" t="inlineStr"/>
      <c r="J86" s="14" t="inlineStr"/>
      <c r="K86" s="14" t="inlineStr"/>
      <c r="L86" s="12" t="inlineStr"/>
      <c r="M86" s="12" t="inlineStr"/>
      <c r="N86" s="12" t="inlineStr"/>
      <c r="O86" s="12">
        <f>IF($N86="x","Korrekturlest",IF($M86="x","Ferdig",IF($L86="x","Mest ferdig",IF($J86&lt;&gt;"","Pågår","Ikke startet"))))</f>
        <v/>
      </c>
      <c r="P86" s="12" t="inlineStr">
        <is>
          <t>Ikke sendt</t>
        </is>
      </c>
      <c r="Q86" s="15">
        <f>IF($D86="","",IFERROR(VLOOKUP($O86,Lists!$A$2:$B$6,2,FALSE),0))</f>
        <v/>
      </c>
      <c r="R86" s="16">
        <f>IF($I86="","",$I86-TODAY())</f>
        <v/>
      </c>
      <c r="S86" s="12">
        <f>IF(AND($I86&lt;&gt;"",$I86&lt;TODAY(),NOT(OR($O86="Ferdig",$O86="Korrekturlest"))),"OVERDUE","")</f>
        <v/>
      </c>
      <c r="T86" s="12" t="inlineStr">
        <is>
          <t>Middels</t>
        </is>
      </c>
      <c r="U86" s="12" t="inlineStr"/>
      <c r="V86" s="12" t="inlineStr"/>
      <c r="W86" s="12" t="inlineStr"/>
      <c r="X86" s="14" t="inlineStr"/>
    </row>
    <row r="87" ht="20" customHeight="1">
      <c r="A87" s="12" t="inlineStr"/>
      <c r="B87" s="12" t="inlineStr"/>
      <c r="C87" s="12" t="inlineStr"/>
      <c r="D87" s="12" t="inlineStr"/>
      <c r="E87" s="6" t="inlineStr"/>
      <c r="F87" s="13" t="inlineStr"/>
      <c r="G87" s="13" t="inlineStr"/>
      <c r="H87" s="14" t="inlineStr"/>
      <c r="I87" s="14" t="inlineStr"/>
      <c r="J87" s="14" t="inlineStr"/>
      <c r="K87" s="14" t="inlineStr"/>
      <c r="L87" s="12" t="inlineStr"/>
      <c r="M87" s="12" t="inlineStr"/>
      <c r="N87" s="12" t="inlineStr"/>
      <c r="O87" s="12">
        <f>IF($N87="x","Korrekturlest",IF($M87="x","Ferdig",IF($L87="x","Mest ferdig",IF($J87&lt;&gt;"","Pågår","Ikke startet"))))</f>
        <v/>
      </c>
      <c r="P87" s="12" t="inlineStr">
        <is>
          <t>Ikke sendt</t>
        </is>
      </c>
      <c r="Q87" s="15">
        <f>IF($D87="","",IFERROR(VLOOKUP($O87,Lists!$A$2:$B$6,2,FALSE),0))</f>
        <v/>
      </c>
      <c r="R87" s="16">
        <f>IF($I87="","",$I87-TODAY())</f>
        <v/>
      </c>
      <c r="S87" s="12">
        <f>IF(AND($I87&lt;&gt;"",$I87&lt;TODAY(),NOT(OR($O87="Ferdig",$O87="Korrekturlest"))),"OVERDUE","")</f>
        <v/>
      </c>
      <c r="T87" s="12" t="inlineStr">
        <is>
          <t>Middels</t>
        </is>
      </c>
      <c r="U87" s="12" t="inlineStr"/>
      <c r="V87" s="12" t="inlineStr"/>
      <c r="W87" s="12" t="inlineStr"/>
      <c r="X87" s="14" t="inlineStr"/>
    </row>
    <row r="88" ht="20" customHeight="1">
      <c r="A88" s="12" t="inlineStr"/>
      <c r="B88" s="12" t="inlineStr"/>
      <c r="C88" s="12" t="inlineStr"/>
      <c r="D88" s="12" t="inlineStr"/>
      <c r="E88" s="6" t="inlineStr"/>
      <c r="F88" s="13" t="inlineStr"/>
      <c r="G88" s="13" t="inlineStr"/>
      <c r="H88" s="14" t="inlineStr"/>
      <c r="I88" s="14" t="inlineStr"/>
      <c r="J88" s="14" t="inlineStr"/>
      <c r="K88" s="14" t="inlineStr"/>
      <c r="L88" s="12" t="inlineStr"/>
      <c r="M88" s="12" t="inlineStr"/>
      <c r="N88" s="12" t="inlineStr"/>
      <c r="O88" s="12">
        <f>IF($N88="x","Korrekturlest",IF($M88="x","Ferdig",IF($L88="x","Mest ferdig",IF($J88&lt;&gt;"","Pågår","Ikke startet"))))</f>
        <v/>
      </c>
      <c r="P88" s="12" t="inlineStr">
        <is>
          <t>Ikke sendt</t>
        </is>
      </c>
      <c r="Q88" s="15">
        <f>IF($D88="","",IFERROR(VLOOKUP($O88,Lists!$A$2:$B$6,2,FALSE),0))</f>
        <v/>
      </c>
      <c r="R88" s="16">
        <f>IF($I88="","",$I88-TODAY())</f>
        <v/>
      </c>
      <c r="S88" s="12">
        <f>IF(AND($I88&lt;&gt;"",$I88&lt;TODAY(),NOT(OR($O88="Ferdig",$O88="Korrekturlest"))),"OVERDUE","")</f>
        <v/>
      </c>
      <c r="T88" s="12" t="inlineStr">
        <is>
          <t>Middels</t>
        </is>
      </c>
      <c r="U88" s="12" t="inlineStr"/>
      <c r="V88" s="12" t="inlineStr"/>
      <c r="W88" s="12" t="inlineStr"/>
      <c r="X88" s="14" t="inlineStr"/>
    </row>
    <row r="89" ht="20" customHeight="1">
      <c r="A89" s="12" t="inlineStr"/>
      <c r="B89" s="12" t="inlineStr"/>
      <c r="C89" s="12" t="inlineStr"/>
      <c r="D89" s="12" t="inlineStr"/>
      <c r="E89" s="6" t="inlineStr"/>
      <c r="F89" s="13" t="inlineStr"/>
      <c r="G89" s="13" t="inlineStr"/>
      <c r="H89" s="14" t="inlineStr"/>
      <c r="I89" s="14" t="inlineStr"/>
      <c r="J89" s="14" t="inlineStr"/>
      <c r="K89" s="14" t="inlineStr"/>
      <c r="L89" s="12" t="inlineStr"/>
      <c r="M89" s="12" t="inlineStr"/>
      <c r="N89" s="12" t="inlineStr"/>
      <c r="O89" s="12">
        <f>IF($N89="x","Korrekturlest",IF($M89="x","Ferdig",IF($L89="x","Mest ferdig",IF($J89&lt;&gt;"","Pågår","Ikke startet"))))</f>
        <v/>
      </c>
      <c r="P89" s="12" t="inlineStr">
        <is>
          <t>Ikke sendt</t>
        </is>
      </c>
      <c r="Q89" s="15">
        <f>IF($D89="","",IFERROR(VLOOKUP($O89,Lists!$A$2:$B$6,2,FALSE),0))</f>
        <v/>
      </c>
      <c r="R89" s="16">
        <f>IF($I89="","",$I89-TODAY())</f>
        <v/>
      </c>
      <c r="S89" s="12">
        <f>IF(AND($I89&lt;&gt;"",$I89&lt;TODAY(),NOT(OR($O89="Ferdig",$O89="Korrekturlest"))),"OVERDUE","")</f>
        <v/>
      </c>
      <c r="T89" s="12" t="inlineStr">
        <is>
          <t>Middels</t>
        </is>
      </c>
      <c r="U89" s="12" t="inlineStr"/>
      <c r="V89" s="12" t="inlineStr"/>
      <c r="W89" s="12" t="inlineStr"/>
      <c r="X89" s="14" t="inlineStr"/>
    </row>
    <row r="90" ht="20" customHeight="1">
      <c r="A90" s="12" t="inlineStr"/>
      <c r="B90" s="12" t="inlineStr"/>
      <c r="C90" s="12" t="inlineStr"/>
      <c r="D90" s="12" t="inlineStr"/>
      <c r="E90" s="6" t="inlineStr"/>
      <c r="F90" s="13" t="inlineStr"/>
      <c r="G90" s="13" t="inlineStr"/>
      <c r="H90" s="14" t="inlineStr"/>
      <c r="I90" s="14" t="inlineStr"/>
      <c r="J90" s="14" t="inlineStr"/>
      <c r="K90" s="14" t="inlineStr"/>
      <c r="L90" s="12" t="inlineStr"/>
      <c r="M90" s="12" t="inlineStr"/>
      <c r="N90" s="12" t="inlineStr"/>
      <c r="O90" s="12">
        <f>IF($N90="x","Korrekturlest",IF($M90="x","Ferdig",IF($L90="x","Mest ferdig",IF($J90&lt;&gt;"","Pågår","Ikke startet"))))</f>
        <v/>
      </c>
      <c r="P90" s="12" t="inlineStr">
        <is>
          <t>Ikke sendt</t>
        </is>
      </c>
      <c r="Q90" s="15">
        <f>IF($D90="","",IFERROR(VLOOKUP($O90,Lists!$A$2:$B$6,2,FALSE),0))</f>
        <v/>
      </c>
      <c r="R90" s="16">
        <f>IF($I90="","",$I90-TODAY())</f>
        <v/>
      </c>
      <c r="S90" s="12">
        <f>IF(AND($I90&lt;&gt;"",$I90&lt;TODAY(),NOT(OR($O90="Ferdig",$O90="Korrekturlest"))),"OVERDUE","")</f>
        <v/>
      </c>
      <c r="T90" s="12" t="inlineStr">
        <is>
          <t>Middels</t>
        </is>
      </c>
      <c r="U90" s="12" t="inlineStr"/>
      <c r="V90" s="12" t="inlineStr"/>
      <c r="W90" s="12" t="inlineStr"/>
      <c r="X90" s="14" t="inlineStr"/>
    </row>
    <row r="91" ht="20" customHeight="1">
      <c r="A91" s="12" t="inlineStr"/>
      <c r="B91" s="12" t="inlineStr"/>
      <c r="C91" s="12" t="inlineStr"/>
      <c r="D91" s="12" t="inlineStr"/>
      <c r="E91" s="6" t="inlineStr"/>
      <c r="F91" s="13" t="inlineStr"/>
      <c r="G91" s="13" t="inlineStr"/>
      <c r="H91" s="14" t="inlineStr"/>
      <c r="I91" s="14" t="inlineStr"/>
      <c r="J91" s="14" t="inlineStr"/>
      <c r="K91" s="14" t="inlineStr"/>
      <c r="L91" s="12" t="inlineStr"/>
      <c r="M91" s="12" t="inlineStr"/>
      <c r="N91" s="12" t="inlineStr"/>
      <c r="O91" s="12">
        <f>IF($N91="x","Korrekturlest",IF($M91="x","Ferdig",IF($L91="x","Mest ferdig",IF($J91&lt;&gt;"","Pågår","Ikke startet"))))</f>
        <v/>
      </c>
      <c r="P91" s="12" t="inlineStr">
        <is>
          <t>Ikke sendt</t>
        </is>
      </c>
      <c r="Q91" s="15">
        <f>IF($D91="","",IFERROR(VLOOKUP($O91,Lists!$A$2:$B$6,2,FALSE),0))</f>
        <v/>
      </c>
      <c r="R91" s="16">
        <f>IF($I91="","",$I91-TODAY())</f>
        <v/>
      </c>
      <c r="S91" s="12">
        <f>IF(AND($I91&lt;&gt;"",$I91&lt;TODAY(),NOT(OR($O91="Ferdig",$O91="Korrekturlest"))),"OVERDUE","")</f>
        <v/>
      </c>
      <c r="T91" s="12" t="inlineStr">
        <is>
          <t>Middels</t>
        </is>
      </c>
      <c r="U91" s="12" t="inlineStr"/>
      <c r="V91" s="12" t="inlineStr"/>
      <c r="W91" s="12" t="inlineStr"/>
      <c r="X91" s="14" t="inlineStr"/>
    </row>
    <row r="92" ht="20" customHeight="1">
      <c r="A92" s="12" t="inlineStr"/>
      <c r="B92" s="12" t="inlineStr"/>
      <c r="C92" s="12" t="inlineStr"/>
      <c r="D92" s="12" t="inlineStr"/>
      <c r="E92" s="6" t="inlineStr"/>
      <c r="F92" s="13" t="inlineStr"/>
      <c r="G92" s="13" t="inlineStr"/>
      <c r="H92" s="14" t="inlineStr"/>
      <c r="I92" s="14" t="inlineStr"/>
      <c r="J92" s="14" t="inlineStr"/>
      <c r="K92" s="14" t="inlineStr"/>
      <c r="L92" s="12" t="inlineStr"/>
      <c r="M92" s="12" t="inlineStr"/>
      <c r="N92" s="12" t="inlineStr"/>
      <c r="O92" s="12">
        <f>IF($N92="x","Korrekturlest",IF($M92="x","Ferdig",IF($L92="x","Mest ferdig",IF($J92&lt;&gt;"","Pågår","Ikke startet"))))</f>
        <v/>
      </c>
      <c r="P92" s="12" t="inlineStr">
        <is>
          <t>Ikke sendt</t>
        </is>
      </c>
      <c r="Q92" s="15">
        <f>IF($D92="","",IFERROR(VLOOKUP($O92,Lists!$A$2:$B$6,2,FALSE),0))</f>
        <v/>
      </c>
      <c r="R92" s="16">
        <f>IF($I92="","",$I92-TODAY())</f>
        <v/>
      </c>
      <c r="S92" s="12">
        <f>IF(AND($I92&lt;&gt;"",$I92&lt;TODAY(),NOT(OR($O92="Ferdig",$O92="Korrekturlest"))),"OVERDUE","")</f>
        <v/>
      </c>
      <c r="T92" s="12" t="inlineStr">
        <is>
          <t>Middels</t>
        </is>
      </c>
      <c r="U92" s="12" t="inlineStr"/>
      <c r="V92" s="12" t="inlineStr"/>
      <c r="W92" s="12" t="inlineStr"/>
      <c r="X92" s="14" t="inlineStr"/>
    </row>
    <row r="93" ht="20" customHeight="1">
      <c r="A93" s="12" t="inlineStr"/>
      <c r="B93" s="12" t="inlineStr"/>
      <c r="C93" s="12" t="inlineStr"/>
      <c r="D93" s="12" t="inlineStr"/>
      <c r="E93" s="6" t="inlineStr"/>
      <c r="F93" s="13" t="inlineStr"/>
      <c r="G93" s="13" t="inlineStr"/>
      <c r="H93" s="14" t="inlineStr"/>
      <c r="I93" s="14" t="inlineStr"/>
      <c r="J93" s="14" t="inlineStr"/>
      <c r="K93" s="14" t="inlineStr"/>
      <c r="L93" s="12" t="inlineStr"/>
      <c r="M93" s="12" t="inlineStr"/>
      <c r="N93" s="12" t="inlineStr"/>
      <c r="O93" s="12">
        <f>IF($N93="x","Korrekturlest",IF($M93="x","Ferdig",IF($L93="x","Mest ferdig",IF($J93&lt;&gt;"","Pågår","Ikke startet"))))</f>
        <v/>
      </c>
      <c r="P93" s="12" t="inlineStr">
        <is>
          <t>Ikke sendt</t>
        </is>
      </c>
      <c r="Q93" s="15">
        <f>IF($D93="","",IFERROR(VLOOKUP($O93,Lists!$A$2:$B$6,2,FALSE),0))</f>
        <v/>
      </c>
      <c r="R93" s="16">
        <f>IF($I93="","",$I93-TODAY())</f>
        <v/>
      </c>
      <c r="S93" s="12">
        <f>IF(AND($I93&lt;&gt;"",$I93&lt;TODAY(),NOT(OR($O93="Ferdig",$O93="Korrekturlest"))),"OVERDUE","")</f>
        <v/>
      </c>
      <c r="T93" s="12" t="inlineStr">
        <is>
          <t>Middels</t>
        </is>
      </c>
      <c r="U93" s="12" t="inlineStr"/>
      <c r="V93" s="12" t="inlineStr"/>
      <c r="W93" s="12" t="inlineStr"/>
      <c r="X93" s="14" t="inlineStr"/>
    </row>
    <row r="94" ht="20" customHeight="1">
      <c r="A94" s="12" t="inlineStr"/>
      <c r="B94" s="12" t="inlineStr"/>
      <c r="C94" s="12" t="inlineStr"/>
      <c r="D94" s="12" t="inlineStr"/>
      <c r="E94" s="6" t="inlineStr"/>
      <c r="F94" s="13" t="inlineStr"/>
      <c r="G94" s="13" t="inlineStr"/>
      <c r="H94" s="14" t="inlineStr"/>
      <c r="I94" s="14" t="inlineStr"/>
      <c r="J94" s="14" t="inlineStr"/>
      <c r="K94" s="14" t="inlineStr"/>
      <c r="L94" s="12" t="inlineStr"/>
      <c r="M94" s="12" t="inlineStr"/>
      <c r="N94" s="12" t="inlineStr"/>
      <c r="O94" s="12">
        <f>IF($N94="x","Korrekturlest",IF($M94="x","Ferdig",IF($L94="x","Mest ferdig",IF($J94&lt;&gt;"","Pågår","Ikke startet"))))</f>
        <v/>
      </c>
      <c r="P94" s="12" t="inlineStr">
        <is>
          <t>Ikke sendt</t>
        </is>
      </c>
      <c r="Q94" s="15">
        <f>IF($D94="","",IFERROR(VLOOKUP($O94,Lists!$A$2:$B$6,2,FALSE),0))</f>
        <v/>
      </c>
      <c r="R94" s="16">
        <f>IF($I94="","",$I94-TODAY())</f>
        <v/>
      </c>
      <c r="S94" s="12">
        <f>IF(AND($I94&lt;&gt;"",$I94&lt;TODAY(),NOT(OR($O94="Ferdig",$O94="Korrekturlest"))),"OVERDUE","")</f>
        <v/>
      </c>
      <c r="T94" s="12" t="inlineStr">
        <is>
          <t>Middels</t>
        </is>
      </c>
      <c r="U94" s="12" t="inlineStr"/>
      <c r="V94" s="12" t="inlineStr"/>
      <c r="W94" s="12" t="inlineStr"/>
      <c r="X94" s="14" t="inlineStr"/>
    </row>
    <row r="95" ht="20" customHeight="1">
      <c r="A95" s="12" t="inlineStr"/>
      <c r="B95" s="12" t="inlineStr"/>
      <c r="C95" s="12" t="inlineStr"/>
      <c r="D95" s="12" t="inlineStr"/>
      <c r="E95" s="6" t="inlineStr"/>
      <c r="F95" s="13" t="inlineStr"/>
      <c r="G95" s="13" t="inlineStr"/>
      <c r="H95" s="14" t="inlineStr"/>
      <c r="I95" s="14" t="inlineStr"/>
      <c r="J95" s="14" t="inlineStr"/>
      <c r="K95" s="14" t="inlineStr"/>
      <c r="L95" s="12" t="inlineStr"/>
      <c r="M95" s="12" t="inlineStr"/>
      <c r="N95" s="12" t="inlineStr"/>
      <c r="O95" s="12">
        <f>IF($N95="x","Korrekturlest",IF($M95="x","Ferdig",IF($L95="x","Mest ferdig",IF($J95&lt;&gt;"","Pågår","Ikke startet"))))</f>
        <v/>
      </c>
      <c r="P95" s="12" t="inlineStr">
        <is>
          <t>Ikke sendt</t>
        </is>
      </c>
      <c r="Q95" s="15">
        <f>IF($D95="","",IFERROR(VLOOKUP($O95,Lists!$A$2:$B$6,2,FALSE),0))</f>
        <v/>
      </c>
      <c r="R95" s="16">
        <f>IF($I95="","",$I95-TODAY())</f>
        <v/>
      </c>
      <c r="S95" s="12">
        <f>IF(AND($I95&lt;&gt;"",$I95&lt;TODAY(),NOT(OR($O95="Ferdig",$O95="Korrekturlest"))),"OVERDUE","")</f>
        <v/>
      </c>
      <c r="T95" s="12" t="inlineStr">
        <is>
          <t>Middels</t>
        </is>
      </c>
      <c r="U95" s="12" t="inlineStr"/>
      <c r="V95" s="12" t="inlineStr"/>
      <c r="W95" s="12" t="inlineStr"/>
      <c r="X95" s="14" t="inlineStr"/>
    </row>
    <row r="96" ht="20" customHeight="1">
      <c r="A96" s="12" t="inlineStr"/>
      <c r="B96" s="12" t="inlineStr"/>
      <c r="C96" s="12" t="inlineStr"/>
      <c r="D96" s="12" t="inlineStr"/>
      <c r="E96" s="6" t="inlineStr"/>
      <c r="F96" s="13" t="inlineStr"/>
      <c r="G96" s="13" t="inlineStr"/>
      <c r="H96" s="14" t="inlineStr"/>
      <c r="I96" s="14" t="inlineStr"/>
      <c r="J96" s="14" t="inlineStr"/>
      <c r="K96" s="14" t="inlineStr"/>
      <c r="L96" s="12" t="inlineStr"/>
      <c r="M96" s="12" t="inlineStr"/>
      <c r="N96" s="12" t="inlineStr"/>
      <c r="O96" s="12">
        <f>IF($N96="x","Korrekturlest",IF($M96="x","Ferdig",IF($L96="x","Mest ferdig",IF($J96&lt;&gt;"","Pågår","Ikke startet"))))</f>
        <v/>
      </c>
      <c r="P96" s="12" t="inlineStr">
        <is>
          <t>Ikke sendt</t>
        </is>
      </c>
      <c r="Q96" s="15">
        <f>IF($D96="","",IFERROR(VLOOKUP($O96,Lists!$A$2:$B$6,2,FALSE),0))</f>
        <v/>
      </c>
      <c r="R96" s="16">
        <f>IF($I96="","",$I96-TODAY())</f>
        <v/>
      </c>
      <c r="S96" s="12">
        <f>IF(AND($I96&lt;&gt;"",$I96&lt;TODAY(),NOT(OR($O96="Ferdig",$O96="Korrekturlest"))),"OVERDUE","")</f>
        <v/>
      </c>
      <c r="T96" s="12" t="inlineStr">
        <is>
          <t>Middels</t>
        </is>
      </c>
      <c r="U96" s="12" t="inlineStr"/>
      <c r="V96" s="12" t="inlineStr"/>
      <c r="W96" s="12" t="inlineStr"/>
      <c r="X96" s="14" t="inlineStr"/>
    </row>
    <row r="97" ht="20" customHeight="1">
      <c r="A97" s="12" t="inlineStr"/>
      <c r="B97" s="12" t="inlineStr"/>
      <c r="C97" s="12" t="inlineStr"/>
      <c r="D97" s="12" t="inlineStr"/>
      <c r="E97" s="6" t="inlineStr"/>
      <c r="F97" s="13" t="inlineStr"/>
      <c r="G97" s="13" t="inlineStr"/>
      <c r="H97" s="14" t="inlineStr"/>
      <c r="I97" s="14" t="inlineStr"/>
      <c r="J97" s="14" t="inlineStr"/>
      <c r="K97" s="14" t="inlineStr"/>
      <c r="L97" s="12" t="inlineStr"/>
      <c r="M97" s="12" t="inlineStr"/>
      <c r="N97" s="12" t="inlineStr"/>
      <c r="O97" s="12">
        <f>IF($N97="x","Korrekturlest",IF($M97="x","Ferdig",IF($L97="x","Mest ferdig",IF($J97&lt;&gt;"","Pågår","Ikke startet"))))</f>
        <v/>
      </c>
      <c r="P97" s="12" t="inlineStr">
        <is>
          <t>Ikke sendt</t>
        </is>
      </c>
      <c r="Q97" s="15">
        <f>IF($D97="","",IFERROR(VLOOKUP($O97,Lists!$A$2:$B$6,2,FALSE),0))</f>
        <v/>
      </c>
      <c r="R97" s="16">
        <f>IF($I97="","",$I97-TODAY())</f>
        <v/>
      </c>
      <c r="S97" s="12">
        <f>IF(AND($I97&lt;&gt;"",$I97&lt;TODAY(),NOT(OR($O97="Ferdig",$O97="Korrekturlest"))),"OVERDUE","")</f>
        <v/>
      </c>
      <c r="T97" s="12" t="inlineStr">
        <is>
          <t>Middels</t>
        </is>
      </c>
      <c r="U97" s="12" t="inlineStr"/>
      <c r="V97" s="12" t="inlineStr"/>
      <c r="W97" s="12" t="inlineStr"/>
      <c r="X97" s="14" t="inlineStr"/>
    </row>
    <row r="98" ht="20" customHeight="1">
      <c r="A98" s="12" t="inlineStr"/>
      <c r="B98" s="12" t="inlineStr"/>
      <c r="C98" s="12" t="inlineStr"/>
      <c r="D98" s="12" t="inlineStr"/>
      <c r="E98" s="6" t="inlineStr"/>
      <c r="F98" s="13" t="inlineStr"/>
      <c r="G98" s="13" t="inlineStr"/>
      <c r="H98" s="14" t="inlineStr"/>
      <c r="I98" s="14" t="inlineStr"/>
      <c r="J98" s="14" t="inlineStr"/>
      <c r="K98" s="14" t="inlineStr"/>
      <c r="L98" s="12" t="inlineStr"/>
      <c r="M98" s="12" t="inlineStr"/>
      <c r="N98" s="12" t="inlineStr"/>
      <c r="O98" s="12">
        <f>IF($N98="x","Korrekturlest",IF($M98="x","Ferdig",IF($L98="x","Mest ferdig",IF($J98&lt;&gt;"","Pågår","Ikke startet"))))</f>
        <v/>
      </c>
      <c r="P98" s="12" t="inlineStr">
        <is>
          <t>Ikke sendt</t>
        </is>
      </c>
      <c r="Q98" s="15">
        <f>IF($D98="","",IFERROR(VLOOKUP($O98,Lists!$A$2:$B$6,2,FALSE),0))</f>
        <v/>
      </c>
      <c r="R98" s="16">
        <f>IF($I98="","",$I98-TODAY())</f>
        <v/>
      </c>
      <c r="S98" s="12">
        <f>IF(AND($I98&lt;&gt;"",$I98&lt;TODAY(),NOT(OR($O98="Ferdig",$O98="Korrekturlest"))),"OVERDUE","")</f>
        <v/>
      </c>
      <c r="T98" s="12" t="inlineStr">
        <is>
          <t>Middels</t>
        </is>
      </c>
      <c r="U98" s="12" t="inlineStr"/>
      <c r="V98" s="12" t="inlineStr"/>
      <c r="W98" s="12" t="inlineStr"/>
      <c r="X98" s="14" t="inlineStr"/>
    </row>
    <row r="99" ht="20" customHeight="1">
      <c r="A99" s="12" t="inlineStr"/>
      <c r="B99" s="12" t="inlineStr"/>
      <c r="C99" s="12" t="inlineStr"/>
      <c r="D99" s="12" t="inlineStr"/>
      <c r="E99" s="6" t="inlineStr"/>
      <c r="F99" s="13" t="inlineStr"/>
      <c r="G99" s="13" t="inlineStr"/>
      <c r="H99" s="14" t="inlineStr"/>
      <c r="I99" s="14" t="inlineStr"/>
      <c r="J99" s="14" t="inlineStr"/>
      <c r="K99" s="14" t="inlineStr"/>
      <c r="L99" s="12" t="inlineStr"/>
      <c r="M99" s="12" t="inlineStr"/>
      <c r="N99" s="12" t="inlineStr"/>
      <c r="O99" s="12">
        <f>IF($N99="x","Korrekturlest",IF($M99="x","Ferdig",IF($L99="x","Mest ferdig",IF($J99&lt;&gt;"","Pågår","Ikke startet"))))</f>
        <v/>
      </c>
      <c r="P99" s="12" t="inlineStr">
        <is>
          <t>Ikke sendt</t>
        </is>
      </c>
      <c r="Q99" s="15">
        <f>IF($D99="","",IFERROR(VLOOKUP($O99,Lists!$A$2:$B$6,2,FALSE),0))</f>
        <v/>
      </c>
      <c r="R99" s="16">
        <f>IF($I99="","",$I99-TODAY())</f>
        <v/>
      </c>
      <c r="S99" s="12">
        <f>IF(AND($I99&lt;&gt;"",$I99&lt;TODAY(),NOT(OR($O99="Ferdig",$O99="Korrekturlest"))),"OVERDUE","")</f>
        <v/>
      </c>
      <c r="T99" s="12" t="inlineStr">
        <is>
          <t>Middels</t>
        </is>
      </c>
      <c r="U99" s="12" t="inlineStr"/>
      <c r="V99" s="12" t="inlineStr"/>
      <c r="W99" s="12" t="inlineStr"/>
      <c r="X99" s="14" t="inlineStr"/>
    </row>
    <row r="100" ht="20" customHeight="1">
      <c r="A100" s="12" t="inlineStr"/>
      <c r="B100" s="12" t="inlineStr"/>
      <c r="C100" s="12" t="inlineStr"/>
      <c r="D100" s="12" t="inlineStr"/>
      <c r="E100" s="6" t="inlineStr"/>
      <c r="F100" s="13" t="inlineStr"/>
      <c r="G100" s="13" t="inlineStr"/>
      <c r="H100" s="14" t="inlineStr"/>
      <c r="I100" s="14" t="inlineStr"/>
      <c r="J100" s="14" t="inlineStr"/>
      <c r="K100" s="14" t="inlineStr"/>
      <c r="L100" s="12" t="inlineStr"/>
      <c r="M100" s="12" t="inlineStr"/>
      <c r="N100" s="12" t="inlineStr"/>
      <c r="O100" s="12">
        <f>IF($N100="x","Korrekturlest",IF($M100="x","Ferdig",IF($L100="x","Mest ferdig",IF($J100&lt;&gt;"","Pågår","Ikke startet"))))</f>
        <v/>
      </c>
      <c r="P100" s="12" t="inlineStr">
        <is>
          <t>Ikke sendt</t>
        </is>
      </c>
      <c r="Q100" s="15">
        <f>IF($D100="","",IFERROR(VLOOKUP($O100,Lists!$A$2:$B$6,2,FALSE),0))</f>
        <v/>
      </c>
      <c r="R100" s="16">
        <f>IF($I100="","",$I100-TODAY())</f>
        <v/>
      </c>
      <c r="S100" s="12">
        <f>IF(AND($I100&lt;&gt;"",$I100&lt;TODAY(),NOT(OR($O100="Ferdig",$O100="Korrekturlest"))),"OVERDUE","")</f>
        <v/>
      </c>
      <c r="T100" s="12" t="inlineStr">
        <is>
          <t>Middels</t>
        </is>
      </c>
      <c r="U100" s="12" t="inlineStr"/>
      <c r="V100" s="12" t="inlineStr"/>
      <c r="W100" s="12" t="inlineStr"/>
      <c r="X100" s="14" t="inlineStr"/>
    </row>
    <row r="101" ht="20" customHeight="1">
      <c r="A101" s="12" t="inlineStr"/>
      <c r="B101" s="12" t="inlineStr"/>
      <c r="C101" s="12" t="inlineStr"/>
      <c r="D101" s="12" t="inlineStr"/>
      <c r="E101" s="6" t="inlineStr"/>
      <c r="F101" s="13" t="inlineStr"/>
      <c r="G101" s="13" t="inlineStr"/>
      <c r="H101" s="14" t="inlineStr"/>
      <c r="I101" s="14" t="inlineStr"/>
      <c r="J101" s="14" t="inlineStr"/>
      <c r="K101" s="14" t="inlineStr"/>
      <c r="L101" s="12" t="inlineStr"/>
      <c r="M101" s="12" t="inlineStr"/>
      <c r="N101" s="12" t="inlineStr"/>
      <c r="O101" s="12">
        <f>IF($N101="x","Korrekturlest",IF($M101="x","Ferdig",IF($L101="x","Mest ferdig",IF($J101&lt;&gt;"","Pågår","Ikke startet"))))</f>
        <v/>
      </c>
      <c r="P101" s="12" t="inlineStr">
        <is>
          <t>Ikke sendt</t>
        </is>
      </c>
      <c r="Q101" s="15">
        <f>IF($D101="","",IFERROR(VLOOKUP($O101,Lists!$A$2:$B$6,2,FALSE),0))</f>
        <v/>
      </c>
      <c r="R101" s="16">
        <f>IF($I101="","",$I101-TODAY())</f>
        <v/>
      </c>
      <c r="S101" s="12">
        <f>IF(AND($I101&lt;&gt;"",$I101&lt;TODAY(),NOT(OR($O101="Ferdig",$O101="Korrekturlest"))),"OVERDUE","")</f>
        <v/>
      </c>
      <c r="T101" s="12" t="inlineStr">
        <is>
          <t>Middels</t>
        </is>
      </c>
      <c r="U101" s="12" t="inlineStr"/>
      <c r="V101" s="12" t="inlineStr"/>
      <c r="W101" s="12" t="inlineStr"/>
      <c r="X101" s="14" t="inlineStr"/>
    </row>
    <row r="102" ht="20" customHeight="1">
      <c r="A102" s="12" t="inlineStr"/>
      <c r="B102" s="12" t="inlineStr"/>
      <c r="C102" s="12" t="inlineStr"/>
      <c r="D102" s="12" t="inlineStr"/>
      <c r="E102" s="6" t="inlineStr"/>
      <c r="F102" s="13" t="inlineStr"/>
      <c r="G102" s="13" t="inlineStr"/>
      <c r="H102" s="14" t="inlineStr"/>
      <c r="I102" s="14" t="inlineStr"/>
      <c r="J102" s="14" t="inlineStr"/>
      <c r="K102" s="14" t="inlineStr"/>
      <c r="L102" s="12" t="inlineStr"/>
      <c r="M102" s="12" t="inlineStr"/>
      <c r="N102" s="12" t="inlineStr"/>
      <c r="O102" s="12">
        <f>IF($N102="x","Korrekturlest",IF($M102="x","Ferdig",IF($L102="x","Mest ferdig",IF($J102&lt;&gt;"","Pågår","Ikke startet"))))</f>
        <v/>
      </c>
      <c r="P102" s="12" t="inlineStr">
        <is>
          <t>Ikke sendt</t>
        </is>
      </c>
      <c r="Q102" s="15">
        <f>IF($D102="","",IFERROR(VLOOKUP($O102,Lists!$A$2:$B$6,2,FALSE),0))</f>
        <v/>
      </c>
      <c r="R102" s="16">
        <f>IF($I102="","",$I102-TODAY())</f>
        <v/>
      </c>
      <c r="S102" s="12">
        <f>IF(AND($I102&lt;&gt;"",$I102&lt;TODAY(),NOT(OR($O102="Ferdig",$O102="Korrekturlest"))),"OVERDUE","")</f>
        <v/>
      </c>
      <c r="T102" s="12" t="inlineStr">
        <is>
          <t>Middels</t>
        </is>
      </c>
      <c r="U102" s="12" t="inlineStr"/>
      <c r="V102" s="12" t="inlineStr"/>
      <c r="W102" s="12" t="inlineStr"/>
      <c r="X102" s="14" t="inlineStr"/>
    </row>
    <row r="103" ht="20" customHeight="1">
      <c r="A103" s="12" t="inlineStr"/>
      <c r="B103" s="12" t="inlineStr"/>
      <c r="C103" s="12" t="inlineStr"/>
      <c r="D103" s="12" t="inlineStr"/>
      <c r="E103" s="6" t="inlineStr"/>
      <c r="F103" s="13" t="inlineStr"/>
      <c r="G103" s="13" t="inlineStr"/>
      <c r="H103" s="14" t="inlineStr"/>
      <c r="I103" s="14" t="inlineStr"/>
      <c r="J103" s="14" t="inlineStr"/>
      <c r="K103" s="14" t="inlineStr"/>
      <c r="L103" s="12" t="inlineStr"/>
      <c r="M103" s="12" t="inlineStr"/>
      <c r="N103" s="12" t="inlineStr"/>
      <c r="O103" s="12">
        <f>IF($N103="x","Korrekturlest",IF($M103="x","Ferdig",IF($L103="x","Mest ferdig",IF($J103&lt;&gt;"","Pågår","Ikke startet"))))</f>
        <v/>
      </c>
      <c r="P103" s="12" t="inlineStr">
        <is>
          <t>Ikke sendt</t>
        </is>
      </c>
      <c r="Q103" s="15">
        <f>IF($D103="","",IFERROR(VLOOKUP($O103,Lists!$A$2:$B$6,2,FALSE),0))</f>
        <v/>
      </c>
      <c r="R103" s="16">
        <f>IF($I103="","",$I103-TODAY())</f>
        <v/>
      </c>
      <c r="S103" s="12">
        <f>IF(AND($I103&lt;&gt;"",$I103&lt;TODAY(),NOT(OR($O103="Ferdig",$O103="Korrekturlest"))),"OVERDUE","")</f>
        <v/>
      </c>
      <c r="T103" s="12" t="inlineStr">
        <is>
          <t>Middels</t>
        </is>
      </c>
      <c r="U103" s="12" t="inlineStr"/>
      <c r="V103" s="12" t="inlineStr"/>
      <c r="W103" s="12" t="inlineStr"/>
      <c r="X103" s="14" t="inlineStr"/>
    </row>
    <row r="104" ht="20" customHeight="1">
      <c r="A104" s="12" t="inlineStr"/>
      <c r="B104" s="12" t="inlineStr"/>
      <c r="C104" s="12" t="inlineStr"/>
      <c r="D104" s="12" t="inlineStr"/>
      <c r="E104" s="6" t="inlineStr"/>
      <c r="F104" s="13" t="inlineStr"/>
      <c r="G104" s="13" t="inlineStr"/>
      <c r="H104" s="14" t="inlineStr"/>
      <c r="I104" s="14" t="inlineStr"/>
      <c r="J104" s="14" t="inlineStr"/>
      <c r="K104" s="14" t="inlineStr"/>
      <c r="L104" s="12" t="inlineStr"/>
      <c r="M104" s="12" t="inlineStr"/>
      <c r="N104" s="12" t="inlineStr"/>
      <c r="O104" s="12">
        <f>IF($N104="x","Korrekturlest",IF($M104="x","Ferdig",IF($L104="x","Mest ferdig",IF($J104&lt;&gt;"","Pågår","Ikke startet"))))</f>
        <v/>
      </c>
      <c r="P104" s="12" t="inlineStr">
        <is>
          <t>Ikke sendt</t>
        </is>
      </c>
      <c r="Q104" s="15">
        <f>IF($D104="","",IFERROR(VLOOKUP($O104,Lists!$A$2:$B$6,2,FALSE),0))</f>
        <v/>
      </c>
      <c r="R104" s="16">
        <f>IF($I104="","",$I104-TODAY())</f>
        <v/>
      </c>
      <c r="S104" s="12">
        <f>IF(AND($I104&lt;&gt;"",$I104&lt;TODAY(),NOT(OR($O104="Ferdig",$O104="Korrekturlest"))),"OVERDUE","")</f>
        <v/>
      </c>
      <c r="T104" s="12" t="inlineStr">
        <is>
          <t>Middels</t>
        </is>
      </c>
      <c r="U104" s="12" t="inlineStr"/>
      <c r="V104" s="12" t="inlineStr"/>
      <c r="W104" s="12" t="inlineStr"/>
      <c r="X104" s="14" t="inlineStr"/>
    </row>
    <row r="105" ht="20" customHeight="1">
      <c r="A105" s="12" t="inlineStr"/>
      <c r="B105" s="12" t="inlineStr"/>
      <c r="C105" s="12" t="inlineStr"/>
      <c r="D105" s="12" t="inlineStr"/>
      <c r="E105" s="6" t="inlineStr"/>
      <c r="F105" s="13" t="inlineStr"/>
      <c r="G105" s="13" t="inlineStr"/>
      <c r="H105" s="14" t="inlineStr"/>
      <c r="I105" s="14" t="inlineStr"/>
      <c r="J105" s="14" t="inlineStr"/>
      <c r="K105" s="14" t="inlineStr"/>
      <c r="L105" s="12" t="inlineStr"/>
      <c r="M105" s="12" t="inlineStr"/>
      <c r="N105" s="12" t="inlineStr"/>
      <c r="O105" s="12">
        <f>IF($N105="x","Korrekturlest",IF($M105="x","Ferdig",IF($L105="x","Mest ferdig",IF($J105&lt;&gt;"","Pågår","Ikke startet"))))</f>
        <v/>
      </c>
      <c r="P105" s="12" t="inlineStr">
        <is>
          <t>Ikke sendt</t>
        </is>
      </c>
      <c r="Q105" s="15">
        <f>IF($D105="","",IFERROR(VLOOKUP($O105,Lists!$A$2:$B$6,2,FALSE),0))</f>
        <v/>
      </c>
      <c r="R105" s="16">
        <f>IF($I105="","",$I105-TODAY())</f>
        <v/>
      </c>
      <c r="S105" s="12">
        <f>IF(AND($I105&lt;&gt;"",$I105&lt;TODAY(),NOT(OR($O105="Ferdig",$O105="Korrekturlest"))),"OVERDUE","")</f>
        <v/>
      </c>
      <c r="T105" s="12" t="inlineStr">
        <is>
          <t>Middels</t>
        </is>
      </c>
      <c r="U105" s="12" t="inlineStr"/>
      <c r="V105" s="12" t="inlineStr"/>
      <c r="W105" s="12" t="inlineStr"/>
      <c r="X105" s="14" t="inlineStr"/>
    </row>
    <row r="106" ht="20" customHeight="1">
      <c r="A106" s="12" t="inlineStr"/>
      <c r="B106" s="12" t="inlineStr"/>
      <c r="C106" s="12" t="inlineStr"/>
      <c r="D106" s="12" t="inlineStr"/>
      <c r="E106" s="6" t="inlineStr"/>
      <c r="F106" s="13" t="inlineStr"/>
      <c r="G106" s="13" t="inlineStr"/>
      <c r="H106" s="14" t="inlineStr"/>
      <c r="I106" s="14" t="inlineStr"/>
      <c r="J106" s="14" t="inlineStr"/>
      <c r="K106" s="14" t="inlineStr"/>
      <c r="L106" s="12" t="inlineStr"/>
      <c r="M106" s="12" t="inlineStr"/>
      <c r="N106" s="12" t="inlineStr"/>
      <c r="O106" s="12">
        <f>IF($N106="x","Korrekturlest",IF($M106="x","Ferdig",IF($L106="x","Mest ferdig",IF($J106&lt;&gt;"","Pågår","Ikke startet"))))</f>
        <v/>
      </c>
      <c r="P106" s="12" t="inlineStr">
        <is>
          <t>Ikke sendt</t>
        </is>
      </c>
      <c r="Q106" s="15">
        <f>IF($D106="","",IFERROR(VLOOKUP($O106,Lists!$A$2:$B$6,2,FALSE),0))</f>
        <v/>
      </c>
      <c r="R106" s="16">
        <f>IF($I106="","",$I106-TODAY())</f>
        <v/>
      </c>
      <c r="S106" s="12">
        <f>IF(AND($I106&lt;&gt;"",$I106&lt;TODAY(),NOT(OR($O106="Ferdig",$O106="Korrekturlest"))),"OVERDUE","")</f>
        <v/>
      </c>
      <c r="T106" s="12" t="inlineStr">
        <is>
          <t>Middels</t>
        </is>
      </c>
      <c r="U106" s="12" t="inlineStr"/>
      <c r="V106" s="12" t="inlineStr"/>
      <c r="W106" s="12" t="inlineStr"/>
      <c r="X106" s="14" t="inlineStr"/>
    </row>
    <row r="107" ht="20" customHeight="1">
      <c r="A107" s="12" t="inlineStr"/>
      <c r="B107" s="12" t="inlineStr"/>
      <c r="C107" s="12" t="inlineStr"/>
      <c r="D107" s="12" t="inlineStr"/>
      <c r="E107" s="6" t="inlineStr"/>
      <c r="F107" s="13" t="inlineStr"/>
      <c r="G107" s="13" t="inlineStr"/>
      <c r="H107" s="14" t="inlineStr"/>
      <c r="I107" s="14" t="inlineStr"/>
      <c r="J107" s="14" t="inlineStr"/>
      <c r="K107" s="14" t="inlineStr"/>
      <c r="L107" s="12" t="inlineStr"/>
      <c r="M107" s="12" t="inlineStr"/>
      <c r="N107" s="12" t="inlineStr"/>
      <c r="O107" s="12">
        <f>IF($N107="x","Korrekturlest",IF($M107="x","Ferdig",IF($L107="x","Mest ferdig",IF($J107&lt;&gt;"","Pågår","Ikke startet"))))</f>
        <v/>
      </c>
      <c r="P107" s="12" t="inlineStr">
        <is>
          <t>Ikke sendt</t>
        </is>
      </c>
      <c r="Q107" s="15">
        <f>IF($D107="","",IFERROR(VLOOKUP($O107,Lists!$A$2:$B$6,2,FALSE),0))</f>
        <v/>
      </c>
      <c r="R107" s="16">
        <f>IF($I107="","",$I107-TODAY())</f>
        <v/>
      </c>
      <c r="S107" s="12">
        <f>IF(AND($I107&lt;&gt;"",$I107&lt;TODAY(),NOT(OR($O107="Ferdig",$O107="Korrekturlest"))),"OVERDUE","")</f>
        <v/>
      </c>
      <c r="T107" s="12" t="inlineStr">
        <is>
          <t>Middels</t>
        </is>
      </c>
      <c r="U107" s="12" t="inlineStr"/>
      <c r="V107" s="12" t="inlineStr"/>
      <c r="W107" s="12" t="inlineStr"/>
      <c r="X107" s="14" t="inlineStr"/>
    </row>
    <row r="108" ht="20" customHeight="1">
      <c r="A108" s="12" t="inlineStr"/>
      <c r="B108" s="12" t="inlineStr"/>
      <c r="C108" s="12" t="inlineStr"/>
      <c r="D108" s="12" t="inlineStr"/>
      <c r="E108" s="6" t="inlineStr"/>
      <c r="F108" s="13" t="inlineStr"/>
      <c r="G108" s="13" t="inlineStr"/>
      <c r="H108" s="14" t="inlineStr"/>
      <c r="I108" s="14" t="inlineStr"/>
      <c r="J108" s="14" t="inlineStr"/>
      <c r="K108" s="14" t="inlineStr"/>
      <c r="L108" s="12" t="inlineStr"/>
      <c r="M108" s="12" t="inlineStr"/>
      <c r="N108" s="12" t="inlineStr"/>
      <c r="O108" s="12">
        <f>IF($N108="x","Korrekturlest",IF($M108="x","Ferdig",IF($L108="x","Mest ferdig",IF($J108&lt;&gt;"","Pågår","Ikke startet"))))</f>
        <v/>
      </c>
      <c r="P108" s="12" t="inlineStr">
        <is>
          <t>Ikke sendt</t>
        </is>
      </c>
      <c r="Q108" s="15">
        <f>IF($D108="","",IFERROR(VLOOKUP($O108,Lists!$A$2:$B$6,2,FALSE),0))</f>
        <v/>
      </c>
      <c r="R108" s="16">
        <f>IF($I108="","",$I108-TODAY())</f>
        <v/>
      </c>
      <c r="S108" s="12">
        <f>IF(AND($I108&lt;&gt;"",$I108&lt;TODAY(),NOT(OR($O108="Ferdig",$O108="Korrekturlest"))),"OVERDUE","")</f>
        <v/>
      </c>
      <c r="T108" s="12" t="inlineStr">
        <is>
          <t>Middels</t>
        </is>
      </c>
      <c r="U108" s="12" t="inlineStr"/>
      <c r="V108" s="12" t="inlineStr"/>
      <c r="W108" s="12" t="inlineStr"/>
      <c r="X108" s="14" t="inlineStr"/>
    </row>
    <row r="109" ht="20" customHeight="1">
      <c r="A109" s="12" t="inlineStr"/>
      <c r="B109" s="12" t="inlineStr"/>
      <c r="C109" s="12" t="inlineStr"/>
      <c r="D109" s="12" t="inlineStr"/>
      <c r="E109" s="6" t="inlineStr"/>
      <c r="F109" s="13" t="inlineStr"/>
      <c r="G109" s="13" t="inlineStr"/>
      <c r="H109" s="14" t="inlineStr"/>
      <c r="I109" s="14" t="inlineStr"/>
      <c r="J109" s="14" t="inlineStr"/>
      <c r="K109" s="14" t="inlineStr"/>
      <c r="L109" s="12" t="inlineStr"/>
      <c r="M109" s="12" t="inlineStr"/>
      <c r="N109" s="12" t="inlineStr"/>
      <c r="O109" s="12">
        <f>IF($N109="x","Korrekturlest",IF($M109="x","Ferdig",IF($L109="x","Mest ferdig",IF($J109&lt;&gt;"","Pågår","Ikke startet"))))</f>
        <v/>
      </c>
      <c r="P109" s="12" t="inlineStr">
        <is>
          <t>Ikke sendt</t>
        </is>
      </c>
      <c r="Q109" s="15">
        <f>IF($D109="","",IFERROR(VLOOKUP($O109,Lists!$A$2:$B$6,2,FALSE),0))</f>
        <v/>
      </c>
      <c r="R109" s="16">
        <f>IF($I109="","",$I109-TODAY())</f>
        <v/>
      </c>
      <c r="S109" s="12">
        <f>IF(AND($I109&lt;&gt;"",$I109&lt;TODAY(),NOT(OR($O109="Ferdig",$O109="Korrekturlest"))),"OVERDUE","")</f>
        <v/>
      </c>
      <c r="T109" s="12" t="inlineStr">
        <is>
          <t>Middels</t>
        </is>
      </c>
      <c r="U109" s="12" t="inlineStr"/>
      <c r="V109" s="12" t="inlineStr"/>
      <c r="W109" s="12" t="inlineStr"/>
      <c r="X109" s="14" t="inlineStr"/>
    </row>
    <row r="110" ht="20" customHeight="1">
      <c r="A110" s="12" t="inlineStr"/>
      <c r="B110" s="12" t="inlineStr"/>
      <c r="C110" s="12" t="inlineStr"/>
      <c r="D110" s="12" t="inlineStr"/>
      <c r="E110" s="6" t="inlineStr"/>
      <c r="F110" s="13" t="inlineStr"/>
      <c r="G110" s="13" t="inlineStr"/>
      <c r="H110" s="14" t="inlineStr"/>
      <c r="I110" s="14" t="inlineStr"/>
      <c r="J110" s="14" t="inlineStr"/>
      <c r="K110" s="14" t="inlineStr"/>
      <c r="L110" s="12" t="inlineStr"/>
      <c r="M110" s="12" t="inlineStr"/>
      <c r="N110" s="12" t="inlineStr"/>
      <c r="O110" s="12">
        <f>IF($N110="x","Korrekturlest",IF($M110="x","Ferdig",IF($L110="x","Mest ferdig",IF($J110&lt;&gt;"","Pågår","Ikke startet"))))</f>
        <v/>
      </c>
      <c r="P110" s="12" t="inlineStr">
        <is>
          <t>Ikke sendt</t>
        </is>
      </c>
      <c r="Q110" s="15">
        <f>IF($D110="","",IFERROR(VLOOKUP($O110,Lists!$A$2:$B$6,2,FALSE),0))</f>
        <v/>
      </c>
      <c r="R110" s="16">
        <f>IF($I110="","",$I110-TODAY())</f>
        <v/>
      </c>
      <c r="S110" s="12">
        <f>IF(AND($I110&lt;&gt;"",$I110&lt;TODAY(),NOT(OR($O110="Ferdig",$O110="Korrekturlest"))),"OVERDUE","")</f>
        <v/>
      </c>
      <c r="T110" s="12" t="inlineStr">
        <is>
          <t>Middels</t>
        </is>
      </c>
      <c r="U110" s="12" t="inlineStr"/>
      <c r="V110" s="12" t="inlineStr"/>
      <c r="W110" s="12" t="inlineStr"/>
      <c r="X110" s="14" t="inlineStr"/>
    </row>
    <row r="111" ht="20" customHeight="1">
      <c r="A111" s="12" t="inlineStr"/>
      <c r="B111" s="12" t="inlineStr"/>
      <c r="C111" s="12" t="inlineStr"/>
      <c r="D111" s="12" t="inlineStr"/>
      <c r="E111" s="6" t="inlineStr"/>
      <c r="F111" s="13" t="inlineStr"/>
      <c r="G111" s="13" t="inlineStr"/>
      <c r="H111" s="14" t="inlineStr"/>
      <c r="I111" s="14" t="inlineStr"/>
      <c r="J111" s="14" t="inlineStr"/>
      <c r="K111" s="14" t="inlineStr"/>
      <c r="L111" s="12" t="inlineStr"/>
      <c r="M111" s="12" t="inlineStr"/>
      <c r="N111" s="12" t="inlineStr"/>
      <c r="O111" s="12">
        <f>IF($N111="x","Korrekturlest",IF($M111="x","Ferdig",IF($L111="x","Mest ferdig",IF($J111&lt;&gt;"","Pågår","Ikke startet"))))</f>
        <v/>
      </c>
      <c r="P111" s="12" t="inlineStr">
        <is>
          <t>Ikke sendt</t>
        </is>
      </c>
      <c r="Q111" s="15">
        <f>IF($D111="","",IFERROR(VLOOKUP($O111,Lists!$A$2:$B$6,2,FALSE),0))</f>
        <v/>
      </c>
      <c r="R111" s="16">
        <f>IF($I111="","",$I111-TODAY())</f>
        <v/>
      </c>
      <c r="S111" s="12">
        <f>IF(AND($I111&lt;&gt;"",$I111&lt;TODAY(),NOT(OR($O111="Ferdig",$O111="Korrekturlest"))),"OVERDUE","")</f>
        <v/>
      </c>
      <c r="T111" s="12" t="inlineStr">
        <is>
          <t>Middels</t>
        </is>
      </c>
      <c r="U111" s="12" t="inlineStr"/>
      <c r="V111" s="12" t="inlineStr"/>
      <c r="W111" s="12" t="inlineStr"/>
      <c r="X111" s="14" t="inlineStr"/>
    </row>
    <row r="112" ht="20" customHeight="1">
      <c r="A112" s="12" t="inlineStr"/>
      <c r="B112" s="12" t="inlineStr"/>
      <c r="C112" s="12" t="inlineStr"/>
      <c r="D112" s="12" t="inlineStr"/>
      <c r="E112" s="6" t="inlineStr"/>
      <c r="F112" s="13" t="inlineStr"/>
      <c r="G112" s="13" t="inlineStr"/>
      <c r="H112" s="14" t="inlineStr"/>
      <c r="I112" s="14" t="inlineStr"/>
      <c r="J112" s="14" t="inlineStr"/>
      <c r="K112" s="14" t="inlineStr"/>
      <c r="L112" s="12" t="inlineStr"/>
      <c r="M112" s="12" t="inlineStr"/>
      <c r="N112" s="12" t="inlineStr"/>
      <c r="O112" s="12">
        <f>IF($N112="x","Korrekturlest",IF($M112="x","Ferdig",IF($L112="x","Mest ferdig",IF($J112&lt;&gt;"","Pågår","Ikke startet"))))</f>
        <v/>
      </c>
      <c r="P112" s="12" t="inlineStr">
        <is>
          <t>Ikke sendt</t>
        </is>
      </c>
      <c r="Q112" s="15">
        <f>IF($D112="","",IFERROR(VLOOKUP($O112,Lists!$A$2:$B$6,2,FALSE),0))</f>
        <v/>
      </c>
      <c r="R112" s="16">
        <f>IF($I112="","",$I112-TODAY())</f>
        <v/>
      </c>
      <c r="S112" s="12">
        <f>IF(AND($I112&lt;&gt;"",$I112&lt;TODAY(),NOT(OR($O112="Ferdig",$O112="Korrekturlest"))),"OVERDUE","")</f>
        <v/>
      </c>
      <c r="T112" s="12" t="inlineStr">
        <is>
          <t>Middels</t>
        </is>
      </c>
      <c r="U112" s="12" t="inlineStr"/>
      <c r="V112" s="12" t="inlineStr"/>
      <c r="W112" s="12" t="inlineStr"/>
      <c r="X112" s="14" t="inlineStr"/>
    </row>
    <row r="113" ht="20" customHeight="1">
      <c r="A113" s="12" t="inlineStr"/>
      <c r="B113" s="12" t="inlineStr"/>
      <c r="C113" s="12" t="inlineStr"/>
      <c r="D113" s="12" t="inlineStr"/>
      <c r="E113" s="6" t="inlineStr"/>
      <c r="F113" s="13" t="inlineStr"/>
      <c r="G113" s="13" t="inlineStr"/>
      <c r="H113" s="14" t="inlineStr"/>
      <c r="I113" s="14" t="inlineStr"/>
      <c r="J113" s="14" t="inlineStr"/>
      <c r="K113" s="14" t="inlineStr"/>
      <c r="L113" s="12" t="inlineStr"/>
      <c r="M113" s="12" t="inlineStr"/>
      <c r="N113" s="12" t="inlineStr"/>
      <c r="O113" s="12">
        <f>IF($N113="x","Korrekturlest",IF($M113="x","Ferdig",IF($L113="x","Mest ferdig",IF($J113&lt;&gt;"","Pågår","Ikke startet"))))</f>
        <v/>
      </c>
      <c r="P113" s="12" t="inlineStr">
        <is>
          <t>Ikke sendt</t>
        </is>
      </c>
      <c r="Q113" s="15">
        <f>IF($D113="","",IFERROR(VLOOKUP($O113,Lists!$A$2:$B$6,2,FALSE),0))</f>
        <v/>
      </c>
      <c r="R113" s="16">
        <f>IF($I113="","",$I113-TODAY())</f>
        <v/>
      </c>
      <c r="S113" s="12">
        <f>IF(AND($I113&lt;&gt;"",$I113&lt;TODAY(),NOT(OR($O113="Ferdig",$O113="Korrekturlest"))),"OVERDUE","")</f>
        <v/>
      </c>
      <c r="T113" s="12" t="inlineStr">
        <is>
          <t>Middels</t>
        </is>
      </c>
      <c r="U113" s="12" t="inlineStr"/>
      <c r="V113" s="12" t="inlineStr"/>
      <c r="W113" s="12" t="inlineStr"/>
      <c r="X113" s="14" t="inlineStr"/>
    </row>
    <row r="114" ht="20" customHeight="1">
      <c r="A114" s="12" t="inlineStr"/>
      <c r="B114" s="12" t="inlineStr"/>
      <c r="C114" s="12" t="inlineStr"/>
      <c r="D114" s="12" t="inlineStr"/>
      <c r="E114" s="6" t="inlineStr"/>
      <c r="F114" s="13" t="inlineStr"/>
      <c r="G114" s="13" t="inlineStr"/>
      <c r="H114" s="14" t="inlineStr"/>
      <c r="I114" s="14" t="inlineStr"/>
      <c r="J114" s="14" t="inlineStr"/>
      <c r="K114" s="14" t="inlineStr"/>
      <c r="L114" s="12" t="inlineStr"/>
      <c r="M114" s="12" t="inlineStr"/>
      <c r="N114" s="12" t="inlineStr"/>
      <c r="O114" s="12">
        <f>IF($N114="x","Korrekturlest",IF($M114="x","Ferdig",IF($L114="x","Mest ferdig",IF($J114&lt;&gt;"","Pågår","Ikke startet"))))</f>
        <v/>
      </c>
      <c r="P114" s="12" t="inlineStr">
        <is>
          <t>Ikke sendt</t>
        </is>
      </c>
      <c r="Q114" s="15">
        <f>IF($D114="","",IFERROR(VLOOKUP($O114,Lists!$A$2:$B$6,2,FALSE),0))</f>
        <v/>
      </c>
      <c r="R114" s="16">
        <f>IF($I114="","",$I114-TODAY())</f>
        <v/>
      </c>
      <c r="S114" s="12">
        <f>IF(AND($I114&lt;&gt;"",$I114&lt;TODAY(),NOT(OR($O114="Ferdig",$O114="Korrekturlest"))),"OVERDUE","")</f>
        <v/>
      </c>
      <c r="T114" s="12" t="inlineStr">
        <is>
          <t>Middels</t>
        </is>
      </c>
      <c r="U114" s="12" t="inlineStr"/>
      <c r="V114" s="12" t="inlineStr"/>
      <c r="W114" s="12" t="inlineStr"/>
      <c r="X114" s="14" t="inlineStr"/>
    </row>
    <row r="115" ht="20" customHeight="1">
      <c r="A115" s="12" t="inlineStr"/>
      <c r="B115" s="12" t="inlineStr"/>
      <c r="C115" s="12" t="inlineStr"/>
      <c r="D115" s="12" t="inlineStr"/>
      <c r="E115" s="6" t="inlineStr"/>
      <c r="F115" s="13" t="inlineStr"/>
      <c r="G115" s="13" t="inlineStr"/>
      <c r="H115" s="14" t="inlineStr"/>
      <c r="I115" s="14" t="inlineStr"/>
      <c r="J115" s="14" t="inlineStr"/>
      <c r="K115" s="14" t="inlineStr"/>
      <c r="L115" s="12" t="inlineStr"/>
      <c r="M115" s="12" t="inlineStr"/>
      <c r="N115" s="12" t="inlineStr"/>
      <c r="O115" s="12">
        <f>IF($N115="x","Korrekturlest",IF($M115="x","Ferdig",IF($L115="x","Mest ferdig",IF($J115&lt;&gt;"","Pågår","Ikke startet"))))</f>
        <v/>
      </c>
      <c r="P115" s="12" t="inlineStr">
        <is>
          <t>Ikke sendt</t>
        </is>
      </c>
      <c r="Q115" s="15">
        <f>IF($D115="","",IFERROR(VLOOKUP($O115,Lists!$A$2:$B$6,2,FALSE),0))</f>
        <v/>
      </c>
      <c r="R115" s="16">
        <f>IF($I115="","",$I115-TODAY())</f>
        <v/>
      </c>
      <c r="S115" s="12">
        <f>IF(AND($I115&lt;&gt;"",$I115&lt;TODAY(),NOT(OR($O115="Ferdig",$O115="Korrekturlest"))),"OVERDUE","")</f>
        <v/>
      </c>
      <c r="T115" s="12" t="inlineStr">
        <is>
          <t>Middels</t>
        </is>
      </c>
      <c r="U115" s="12" t="inlineStr"/>
      <c r="V115" s="12" t="inlineStr"/>
      <c r="W115" s="12" t="inlineStr"/>
      <c r="X115" s="14" t="inlineStr"/>
    </row>
    <row r="116" ht="20" customHeight="1">
      <c r="A116" s="12" t="inlineStr"/>
      <c r="B116" s="12" t="inlineStr"/>
      <c r="C116" s="12" t="inlineStr"/>
      <c r="D116" s="12" t="inlineStr"/>
      <c r="E116" s="6" t="inlineStr"/>
      <c r="F116" s="13" t="inlineStr"/>
      <c r="G116" s="13" t="inlineStr"/>
      <c r="H116" s="14" t="inlineStr"/>
      <c r="I116" s="14" t="inlineStr"/>
      <c r="J116" s="14" t="inlineStr"/>
      <c r="K116" s="14" t="inlineStr"/>
      <c r="L116" s="12" t="inlineStr"/>
      <c r="M116" s="12" t="inlineStr"/>
      <c r="N116" s="12" t="inlineStr"/>
      <c r="O116" s="12">
        <f>IF($N116="x","Korrekturlest",IF($M116="x","Ferdig",IF($L116="x","Mest ferdig",IF($J116&lt;&gt;"","Pågår","Ikke startet"))))</f>
        <v/>
      </c>
      <c r="P116" s="12" t="inlineStr">
        <is>
          <t>Ikke sendt</t>
        </is>
      </c>
      <c r="Q116" s="15">
        <f>IF($D116="","",IFERROR(VLOOKUP($O116,Lists!$A$2:$B$6,2,FALSE),0))</f>
        <v/>
      </c>
      <c r="R116" s="16">
        <f>IF($I116="","",$I116-TODAY())</f>
        <v/>
      </c>
      <c r="S116" s="12">
        <f>IF(AND($I116&lt;&gt;"",$I116&lt;TODAY(),NOT(OR($O116="Ferdig",$O116="Korrekturlest"))),"OVERDUE","")</f>
        <v/>
      </c>
      <c r="T116" s="12" t="inlineStr">
        <is>
          <t>Middels</t>
        </is>
      </c>
      <c r="U116" s="12" t="inlineStr"/>
      <c r="V116" s="12" t="inlineStr"/>
      <c r="W116" s="12" t="inlineStr"/>
      <c r="X116" s="14" t="inlineStr"/>
    </row>
    <row r="117" ht="20" customHeight="1">
      <c r="A117" s="12" t="inlineStr"/>
      <c r="B117" s="12" t="inlineStr"/>
      <c r="C117" s="12" t="inlineStr"/>
      <c r="D117" s="12" t="inlineStr"/>
      <c r="E117" s="6" t="inlineStr"/>
      <c r="F117" s="13" t="inlineStr"/>
      <c r="G117" s="13" t="inlineStr"/>
      <c r="H117" s="14" t="inlineStr"/>
      <c r="I117" s="14" t="inlineStr"/>
      <c r="J117" s="14" t="inlineStr"/>
      <c r="K117" s="14" t="inlineStr"/>
      <c r="L117" s="12" t="inlineStr"/>
      <c r="M117" s="12" t="inlineStr"/>
      <c r="N117" s="12" t="inlineStr"/>
      <c r="O117" s="12">
        <f>IF($N117="x","Korrekturlest",IF($M117="x","Ferdig",IF($L117="x","Mest ferdig",IF($J117&lt;&gt;"","Pågår","Ikke startet"))))</f>
        <v/>
      </c>
      <c r="P117" s="12" t="inlineStr">
        <is>
          <t>Ikke sendt</t>
        </is>
      </c>
      <c r="Q117" s="15">
        <f>IF($D117="","",IFERROR(VLOOKUP($O117,Lists!$A$2:$B$6,2,FALSE),0))</f>
        <v/>
      </c>
      <c r="R117" s="16">
        <f>IF($I117="","",$I117-TODAY())</f>
        <v/>
      </c>
      <c r="S117" s="12">
        <f>IF(AND($I117&lt;&gt;"",$I117&lt;TODAY(),NOT(OR($O117="Ferdig",$O117="Korrekturlest"))),"OVERDUE","")</f>
        <v/>
      </c>
      <c r="T117" s="12" t="inlineStr">
        <is>
          <t>Middels</t>
        </is>
      </c>
      <c r="U117" s="12" t="inlineStr"/>
      <c r="V117" s="12" t="inlineStr"/>
      <c r="W117" s="12" t="inlineStr"/>
      <c r="X117" s="14" t="inlineStr"/>
    </row>
    <row r="118" ht="20" customHeight="1">
      <c r="A118" s="12" t="inlineStr"/>
      <c r="B118" s="12" t="inlineStr"/>
      <c r="C118" s="12" t="inlineStr"/>
      <c r="D118" s="12" t="inlineStr"/>
      <c r="E118" s="6" t="inlineStr"/>
      <c r="F118" s="13" t="inlineStr"/>
      <c r="G118" s="13" t="inlineStr"/>
      <c r="H118" s="14" t="inlineStr"/>
      <c r="I118" s="14" t="inlineStr"/>
      <c r="J118" s="14" t="inlineStr"/>
      <c r="K118" s="14" t="inlineStr"/>
      <c r="L118" s="12" t="inlineStr"/>
      <c r="M118" s="12" t="inlineStr"/>
      <c r="N118" s="12" t="inlineStr"/>
      <c r="O118" s="12">
        <f>IF($N118="x","Korrekturlest",IF($M118="x","Ferdig",IF($L118="x","Mest ferdig",IF($J118&lt;&gt;"","Pågår","Ikke startet"))))</f>
        <v/>
      </c>
      <c r="P118" s="12" t="inlineStr">
        <is>
          <t>Ikke sendt</t>
        </is>
      </c>
      <c r="Q118" s="15">
        <f>IF($D118="","",IFERROR(VLOOKUP($O118,Lists!$A$2:$B$6,2,FALSE),0))</f>
        <v/>
      </c>
      <c r="R118" s="16">
        <f>IF($I118="","",$I118-TODAY())</f>
        <v/>
      </c>
      <c r="S118" s="12">
        <f>IF(AND($I118&lt;&gt;"",$I118&lt;TODAY(),NOT(OR($O118="Ferdig",$O118="Korrekturlest"))),"OVERDUE","")</f>
        <v/>
      </c>
      <c r="T118" s="12" t="inlineStr">
        <is>
          <t>Middels</t>
        </is>
      </c>
      <c r="U118" s="12" t="inlineStr"/>
      <c r="V118" s="12" t="inlineStr"/>
      <c r="W118" s="12" t="inlineStr"/>
      <c r="X118" s="14" t="inlineStr"/>
    </row>
    <row r="119" ht="20" customHeight="1">
      <c r="A119" s="12" t="inlineStr"/>
      <c r="B119" s="12" t="inlineStr"/>
      <c r="C119" s="12" t="inlineStr"/>
      <c r="D119" s="12" t="inlineStr"/>
      <c r="E119" s="6" t="inlineStr"/>
      <c r="F119" s="13" t="inlineStr"/>
      <c r="G119" s="13" t="inlineStr"/>
      <c r="H119" s="14" t="inlineStr"/>
      <c r="I119" s="14" t="inlineStr"/>
      <c r="J119" s="14" t="inlineStr"/>
      <c r="K119" s="14" t="inlineStr"/>
      <c r="L119" s="12" t="inlineStr"/>
      <c r="M119" s="12" t="inlineStr"/>
      <c r="N119" s="12" t="inlineStr"/>
      <c r="O119" s="12">
        <f>IF($N119="x","Korrekturlest",IF($M119="x","Ferdig",IF($L119="x","Mest ferdig",IF($J119&lt;&gt;"","Pågår","Ikke startet"))))</f>
        <v/>
      </c>
      <c r="P119" s="12" t="inlineStr">
        <is>
          <t>Ikke sendt</t>
        </is>
      </c>
      <c r="Q119" s="15">
        <f>IF($D119="","",IFERROR(VLOOKUP($O119,Lists!$A$2:$B$6,2,FALSE),0))</f>
        <v/>
      </c>
      <c r="R119" s="16">
        <f>IF($I119="","",$I119-TODAY())</f>
        <v/>
      </c>
      <c r="S119" s="12">
        <f>IF(AND($I119&lt;&gt;"",$I119&lt;TODAY(),NOT(OR($O119="Ferdig",$O119="Korrekturlest"))),"OVERDUE","")</f>
        <v/>
      </c>
      <c r="T119" s="12" t="inlineStr">
        <is>
          <t>Middels</t>
        </is>
      </c>
      <c r="U119" s="12" t="inlineStr"/>
      <c r="V119" s="12" t="inlineStr"/>
      <c r="W119" s="12" t="inlineStr"/>
      <c r="X119" s="14" t="inlineStr"/>
    </row>
    <row r="120" ht="20" customHeight="1">
      <c r="A120" s="12" t="inlineStr"/>
      <c r="B120" s="12" t="inlineStr"/>
      <c r="C120" s="12" t="inlineStr"/>
      <c r="D120" s="12" t="inlineStr"/>
      <c r="E120" s="6" t="inlineStr"/>
      <c r="F120" s="13" t="inlineStr"/>
      <c r="G120" s="13" t="inlineStr"/>
      <c r="H120" s="14" t="inlineStr"/>
      <c r="I120" s="14" t="inlineStr"/>
      <c r="J120" s="14" t="inlineStr"/>
      <c r="K120" s="14" t="inlineStr"/>
      <c r="L120" s="12" t="inlineStr"/>
      <c r="M120" s="12" t="inlineStr"/>
      <c r="N120" s="12" t="inlineStr"/>
      <c r="O120" s="12">
        <f>IF($N120="x","Korrekturlest",IF($M120="x","Ferdig",IF($L120="x","Mest ferdig",IF($J120&lt;&gt;"","Pågår","Ikke startet"))))</f>
        <v/>
      </c>
      <c r="P120" s="12" t="inlineStr">
        <is>
          <t>Ikke sendt</t>
        </is>
      </c>
      <c r="Q120" s="15">
        <f>IF($D120="","",IFERROR(VLOOKUP($O120,Lists!$A$2:$B$6,2,FALSE),0))</f>
        <v/>
      </c>
      <c r="R120" s="16">
        <f>IF($I120="","",$I120-TODAY())</f>
        <v/>
      </c>
      <c r="S120" s="12">
        <f>IF(AND($I120&lt;&gt;"",$I120&lt;TODAY(),NOT(OR($O120="Ferdig",$O120="Korrekturlest"))),"OVERDUE","")</f>
        <v/>
      </c>
      <c r="T120" s="12" t="inlineStr">
        <is>
          <t>Middels</t>
        </is>
      </c>
      <c r="U120" s="12" t="inlineStr"/>
      <c r="V120" s="12" t="inlineStr"/>
      <c r="W120" s="12" t="inlineStr"/>
      <c r="X120" s="14" t="inlineStr"/>
    </row>
    <row r="121" ht="20" customHeight="1">
      <c r="A121" s="12" t="inlineStr"/>
      <c r="B121" s="12" t="inlineStr"/>
      <c r="C121" s="12" t="inlineStr"/>
      <c r="D121" s="12" t="inlineStr"/>
      <c r="E121" s="6" t="inlineStr"/>
      <c r="F121" s="13" t="inlineStr"/>
      <c r="G121" s="13" t="inlineStr"/>
      <c r="H121" s="14" t="inlineStr"/>
      <c r="I121" s="14" t="inlineStr"/>
      <c r="J121" s="14" t="inlineStr"/>
      <c r="K121" s="14" t="inlineStr"/>
      <c r="L121" s="12" t="inlineStr"/>
      <c r="M121" s="12" t="inlineStr"/>
      <c r="N121" s="12" t="inlineStr"/>
      <c r="O121" s="12">
        <f>IF($N121="x","Korrekturlest",IF($M121="x","Ferdig",IF($L121="x","Mest ferdig",IF($J121&lt;&gt;"","Pågår","Ikke startet"))))</f>
        <v/>
      </c>
      <c r="P121" s="12" t="inlineStr">
        <is>
          <t>Ikke sendt</t>
        </is>
      </c>
      <c r="Q121" s="15">
        <f>IF($D121="","",IFERROR(VLOOKUP($O121,Lists!$A$2:$B$6,2,FALSE),0))</f>
        <v/>
      </c>
      <c r="R121" s="16">
        <f>IF($I121="","",$I121-TODAY())</f>
        <v/>
      </c>
      <c r="S121" s="12">
        <f>IF(AND($I121&lt;&gt;"",$I121&lt;TODAY(),NOT(OR($O121="Ferdig",$O121="Korrekturlest"))),"OVERDUE","")</f>
        <v/>
      </c>
      <c r="T121" s="12" t="inlineStr">
        <is>
          <t>Middels</t>
        </is>
      </c>
      <c r="U121" s="12" t="inlineStr"/>
      <c r="V121" s="12" t="inlineStr"/>
      <c r="W121" s="12" t="inlineStr"/>
      <c r="X121" s="14" t="inlineStr"/>
    </row>
    <row r="122" ht="20" customHeight="1">
      <c r="A122" s="12" t="inlineStr"/>
      <c r="B122" s="12" t="inlineStr"/>
      <c r="C122" s="12" t="inlineStr"/>
      <c r="D122" s="12" t="inlineStr"/>
      <c r="E122" s="6" t="inlineStr"/>
      <c r="F122" s="13" t="inlineStr"/>
      <c r="G122" s="13" t="inlineStr"/>
      <c r="H122" s="14" t="inlineStr"/>
      <c r="I122" s="14" t="inlineStr"/>
      <c r="J122" s="14" t="inlineStr"/>
      <c r="K122" s="14" t="inlineStr"/>
      <c r="L122" s="12" t="inlineStr"/>
      <c r="M122" s="12" t="inlineStr"/>
      <c r="N122" s="12" t="inlineStr"/>
      <c r="O122" s="12">
        <f>IF($N122="x","Korrekturlest",IF($M122="x","Ferdig",IF($L122="x","Mest ferdig",IF($J122&lt;&gt;"","Pågår","Ikke startet"))))</f>
        <v/>
      </c>
      <c r="P122" s="12" t="inlineStr">
        <is>
          <t>Ikke sendt</t>
        </is>
      </c>
      <c r="Q122" s="15">
        <f>IF($D122="","",IFERROR(VLOOKUP($O122,Lists!$A$2:$B$6,2,FALSE),0))</f>
        <v/>
      </c>
      <c r="R122" s="16">
        <f>IF($I122="","",$I122-TODAY())</f>
        <v/>
      </c>
      <c r="S122" s="12">
        <f>IF(AND($I122&lt;&gt;"",$I122&lt;TODAY(),NOT(OR($O122="Ferdig",$O122="Korrekturlest"))),"OVERDUE","")</f>
        <v/>
      </c>
      <c r="T122" s="12" t="inlineStr">
        <is>
          <t>Middels</t>
        </is>
      </c>
      <c r="U122" s="12" t="inlineStr"/>
      <c r="V122" s="12" t="inlineStr"/>
      <c r="W122" s="12" t="inlineStr"/>
      <c r="X122" s="14" t="inlineStr"/>
    </row>
    <row r="123" ht="20" customHeight="1">
      <c r="A123" s="12" t="inlineStr"/>
      <c r="B123" s="12" t="inlineStr"/>
      <c r="C123" s="12" t="inlineStr"/>
      <c r="D123" s="12" t="inlineStr"/>
      <c r="E123" s="6" t="inlineStr"/>
      <c r="F123" s="13" t="inlineStr"/>
      <c r="G123" s="13" t="inlineStr"/>
      <c r="H123" s="14" t="inlineStr"/>
      <c r="I123" s="14" t="inlineStr"/>
      <c r="J123" s="14" t="inlineStr"/>
      <c r="K123" s="14" t="inlineStr"/>
      <c r="L123" s="12" t="inlineStr"/>
      <c r="M123" s="12" t="inlineStr"/>
      <c r="N123" s="12" t="inlineStr"/>
      <c r="O123" s="12">
        <f>IF($N123="x","Korrekturlest",IF($M123="x","Ferdig",IF($L123="x","Mest ferdig",IF($J123&lt;&gt;"","Pågår","Ikke startet"))))</f>
        <v/>
      </c>
      <c r="P123" s="12" t="inlineStr">
        <is>
          <t>Ikke sendt</t>
        </is>
      </c>
      <c r="Q123" s="15">
        <f>IF($D123="","",IFERROR(VLOOKUP($O123,Lists!$A$2:$B$6,2,FALSE),0))</f>
        <v/>
      </c>
      <c r="R123" s="16">
        <f>IF($I123="","",$I123-TODAY())</f>
        <v/>
      </c>
      <c r="S123" s="12">
        <f>IF(AND($I123&lt;&gt;"",$I123&lt;TODAY(),NOT(OR($O123="Ferdig",$O123="Korrekturlest"))),"OVERDUE","")</f>
        <v/>
      </c>
      <c r="T123" s="12" t="inlineStr">
        <is>
          <t>Middels</t>
        </is>
      </c>
      <c r="U123" s="12" t="inlineStr"/>
      <c r="V123" s="12" t="inlineStr"/>
      <c r="W123" s="12" t="inlineStr"/>
      <c r="X123" s="14" t="inlineStr"/>
    </row>
    <row r="124" ht="20" customHeight="1">
      <c r="A124" s="12" t="inlineStr"/>
      <c r="B124" s="12" t="inlineStr"/>
      <c r="C124" s="12" t="inlineStr"/>
      <c r="D124" s="12" t="inlineStr"/>
      <c r="E124" s="6" t="inlineStr"/>
      <c r="F124" s="13" t="inlineStr"/>
      <c r="G124" s="13" t="inlineStr"/>
      <c r="H124" s="14" t="inlineStr"/>
      <c r="I124" s="14" t="inlineStr"/>
      <c r="J124" s="14" t="inlineStr"/>
      <c r="K124" s="14" t="inlineStr"/>
      <c r="L124" s="12" t="inlineStr"/>
      <c r="M124" s="12" t="inlineStr"/>
      <c r="N124" s="12" t="inlineStr"/>
      <c r="O124" s="12">
        <f>IF($N124="x","Korrekturlest",IF($M124="x","Ferdig",IF($L124="x","Mest ferdig",IF($J124&lt;&gt;"","Pågår","Ikke startet"))))</f>
        <v/>
      </c>
      <c r="P124" s="12" t="inlineStr">
        <is>
          <t>Ikke sendt</t>
        </is>
      </c>
      <c r="Q124" s="15">
        <f>IF($D124="","",IFERROR(VLOOKUP($O124,Lists!$A$2:$B$6,2,FALSE),0))</f>
        <v/>
      </c>
      <c r="R124" s="16">
        <f>IF($I124="","",$I124-TODAY())</f>
        <v/>
      </c>
      <c r="S124" s="12">
        <f>IF(AND($I124&lt;&gt;"",$I124&lt;TODAY(),NOT(OR($O124="Ferdig",$O124="Korrekturlest"))),"OVERDUE","")</f>
        <v/>
      </c>
      <c r="T124" s="12" t="inlineStr">
        <is>
          <t>Middels</t>
        </is>
      </c>
      <c r="U124" s="12" t="inlineStr"/>
      <c r="V124" s="12" t="inlineStr"/>
      <c r="W124" s="12" t="inlineStr"/>
      <c r="X124" s="14" t="inlineStr"/>
    </row>
    <row r="125" ht="20" customHeight="1">
      <c r="A125" s="12" t="inlineStr"/>
      <c r="B125" s="12" t="inlineStr"/>
      <c r="C125" s="12" t="inlineStr"/>
      <c r="D125" s="12" t="inlineStr"/>
      <c r="E125" s="6" t="inlineStr"/>
      <c r="F125" s="13" t="inlineStr"/>
      <c r="G125" s="13" t="inlineStr"/>
      <c r="H125" s="14" t="inlineStr"/>
      <c r="I125" s="14" t="inlineStr"/>
      <c r="J125" s="14" t="inlineStr"/>
      <c r="K125" s="14" t="inlineStr"/>
      <c r="L125" s="12" t="inlineStr"/>
      <c r="M125" s="12" t="inlineStr"/>
      <c r="N125" s="12" t="inlineStr"/>
      <c r="O125" s="12">
        <f>IF($N125="x","Korrekturlest",IF($M125="x","Ferdig",IF($L125="x","Mest ferdig",IF($J125&lt;&gt;"","Pågår","Ikke startet"))))</f>
        <v/>
      </c>
      <c r="P125" s="12" t="inlineStr">
        <is>
          <t>Ikke sendt</t>
        </is>
      </c>
      <c r="Q125" s="15">
        <f>IF($D125="","",IFERROR(VLOOKUP($O125,Lists!$A$2:$B$6,2,FALSE),0))</f>
        <v/>
      </c>
      <c r="R125" s="16">
        <f>IF($I125="","",$I125-TODAY())</f>
        <v/>
      </c>
      <c r="S125" s="12">
        <f>IF(AND($I125&lt;&gt;"",$I125&lt;TODAY(),NOT(OR($O125="Ferdig",$O125="Korrekturlest"))),"OVERDUE","")</f>
        <v/>
      </c>
      <c r="T125" s="12" t="inlineStr">
        <is>
          <t>Middels</t>
        </is>
      </c>
      <c r="U125" s="12" t="inlineStr"/>
      <c r="V125" s="12" t="inlineStr"/>
      <c r="W125" s="12" t="inlineStr"/>
      <c r="X125" s="14" t="inlineStr"/>
    </row>
    <row r="126" ht="20" customHeight="1">
      <c r="A126" s="12" t="inlineStr"/>
      <c r="B126" s="12" t="inlineStr"/>
      <c r="C126" s="12" t="inlineStr"/>
      <c r="D126" s="12" t="inlineStr"/>
      <c r="E126" s="6" t="inlineStr"/>
      <c r="F126" s="13" t="inlineStr"/>
      <c r="G126" s="13" t="inlineStr"/>
      <c r="H126" s="14" t="inlineStr"/>
      <c r="I126" s="14" t="inlineStr"/>
      <c r="J126" s="14" t="inlineStr"/>
      <c r="K126" s="14" t="inlineStr"/>
      <c r="L126" s="12" t="inlineStr"/>
      <c r="M126" s="12" t="inlineStr"/>
      <c r="N126" s="12" t="inlineStr"/>
      <c r="O126" s="12">
        <f>IF($N126="x","Korrekturlest",IF($M126="x","Ferdig",IF($L126="x","Mest ferdig",IF($J126&lt;&gt;"","Pågår","Ikke startet"))))</f>
        <v/>
      </c>
      <c r="P126" s="12" t="inlineStr">
        <is>
          <t>Ikke sendt</t>
        </is>
      </c>
      <c r="Q126" s="15">
        <f>IF($D126="","",IFERROR(VLOOKUP($O126,Lists!$A$2:$B$6,2,FALSE),0))</f>
        <v/>
      </c>
      <c r="R126" s="16">
        <f>IF($I126="","",$I126-TODAY())</f>
        <v/>
      </c>
      <c r="S126" s="12">
        <f>IF(AND($I126&lt;&gt;"",$I126&lt;TODAY(),NOT(OR($O126="Ferdig",$O126="Korrekturlest"))),"OVERDUE","")</f>
        <v/>
      </c>
      <c r="T126" s="12" t="inlineStr">
        <is>
          <t>Middels</t>
        </is>
      </c>
      <c r="U126" s="12" t="inlineStr"/>
      <c r="V126" s="12" t="inlineStr"/>
      <c r="W126" s="12" t="inlineStr"/>
      <c r="X126" s="14" t="inlineStr"/>
    </row>
    <row r="127" ht="20" customHeight="1">
      <c r="A127" s="12" t="inlineStr"/>
      <c r="B127" s="12" t="inlineStr"/>
      <c r="C127" s="12" t="inlineStr"/>
      <c r="D127" s="12" t="inlineStr"/>
      <c r="E127" s="6" t="inlineStr"/>
      <c r="F127" s="13" t="inlineStr"/>
      <c r="G127" s="13" t="inlineStr"/>
      <c r="H127" s="14" t="inlineStr"/>
      <c r="I127" s="14" t="inlineStr"/>
      <c r="J127" s="14" t="inlineStr"/>
      <c r="K127" s="14" t="inlineStr"/>
      <c r="L127" s="12" t="inlineStr"/>
      <c r="M127" s="12" t="inlineStr"/>
      <c r="N127" s="12" t="inlineStr"/>
      <c r="O127" s="12">
        <f>IF($N127="x","Korrekturlest",IF($M127="x","Ferdig",IF($L127="x","Mest ferdig",IF($J127&lt;&gt;"","Pågår","Ikke startet"))))</f>
        <v/>
      </c>
      <c r="P127" s="12" t="inlineStr">
        <is>
          <t>Ikke sendt</t>
        </is>
      </c>
      <c r="Q127" s="15">
        <f>IF($D127="","",IFERROR(VLOOKUP($O127,Lists!$A$2:$B$6,2,FALSE),0))</f>
        <v/>
      </c>
      <c r="R127" s="16">
        <f>IF($I127="","",$I127-TODAY())</f>
        <v/>
      </c>
      <c r="S127" s="12">
        <f>IF(AND($I127&lt;&gt;"",$I127&lt;TODAY(),NOT(OR($O127="Ferdig",$O127="Korrekturlest"))),"OVERDUE","")</f>
        <v/>
      </c>
      <c r="T127" s="12" t="inlineStr">
        <is>
          <t>Middels</t>
        </is>
      </c>
      <c r="U127" s="12" t="inlineStr"/>
      <c r="V127" s="12" t="inlineStr"/>
      <c r="W127" s="12" t="inlineStr"/>
      <c r="X127" s="14" t="inlineStr"/>
    </row>
    <row r="128" ht="20" customHeight="1">
      <c r="A128" s="12" t="inlineStr"/>
      <c r="B128" s="12" t="inlineStr"/>
      <c r="C128" s="12" t="inlineStr"/>
      <c r="D128" s="12" t="inlineStr"/>
      <c r="E128" s="6" t="inlineStr"/>
      <c r="F128" s="13" t="inlineStr"/>
      <c r="G128" s="13" t="inlineStr"/>
      <c r="H128" s="14" t="inlineStr"/>
      <c r="I128" s="14" t="inlineStr"/>
      <c r="J128" s="14" t="inlineStr"/>
      <c r="K128" s="14" t="inlineStr"/>
      <c r="L128" s="12" t="inlineStr"/>
      <c r="M128" s="12" t="inlineStr"/>
      <c r="N128" s="12" t="inlineStr"/>
      <c r="O128" s="12">
        <f>IF($N128="x","Korrekturlest",IF($M128="x","Ferdig",IF($L128="x","Mest ferdig",IF($J128&lt;&gt;"","Pågår","Ikke startet"))))</f>
        <v/>
      </c>
      <c r="P128" s="12" t="inlineStr">
        <is>
          <t>Ikke sendt</t>
        </is>
      </c>
      <c r="Q128" s="15">
        <f>IF($D128="","",IFERROR(VLOOKUP($O128,Lists!$A$2:$B$6,2,FALSE),0))</f>
        <v/>
      </c>
      <c r="R128" s="16">
        <f>IF($I128="","",$I128-TODAY())</f>
        <v/>
      </c>
      <c r="S128" s="12">
        <f>IF(AND($I128&lt;&gt;"",$I128&lt;TODAY(),NOT(OR($O128="Ferdig",$O128="Korrekturlest"))),"OVERDUE","")</f>
        <v/>
      </c>
      <c r="T128" s="12" t="inlineStr">
        <is>
          <t>Middels</t>
        </is>
      </c>
      <c r="U128" s="12" t="inlineStr"/>
      <c r="V128" s="12" t="inlineStr"/>
      <c r="W128" s="12" t="inlineStr"/>
      <c r="X128" s="14" t="inlineStr"/>
    </row>
    <row r="129" ht="20" customHeight="1">
      <c r="A129" s="12" t="inlineStr"/>
      <c r="B129" s="12" t="inlineStr"/>
      <c r="C129" s="12" t="inlineStr"/>
      <c r="D129" s="12" t="inlineStr"/>
      <c r="E129" s="6" t="inlineStr"/>
      <c r="F129" s="13" t="inlineStr"/>
      <c r="G129" s="13" t="inlineStr"/>
      <c r="H129" s="14" t="inlineStr"/>
      <c r="I129" s="14" t="inlineStr"/>
      <c r="J129" s="14" t="inlineStr"/>
      <c r="K129" s="14" t="inlineStr"/>
      <c r="L129" s="12" t="inlineStr"/>
      <c r="M129" s="12" t="inlineStr"/>
      <c r="N129" s="12" t="inlineStr"/>
      <c r="O129" s="12">
        <f>IF($N129="x","Korrekturlest",IF($M129="x","Ferdig",IF($L129="x","Mest ferdig",IF($J129&lt;&gt;"","Pågår","Ikke startet"))))</f>
        <v/>
      </c>
      <c r="P129" s="12" t="inlineStr">
        <is>
          <t>Ikke sendt</t>
        </is>
      </c>
      <c r="Q129" s="15">
        <f>IF($D129="","",IFERROR(VLOOKUP($O129,Lists!$A$2:$B$6,2,FALSE),0))</f>
        <v/>
      </c>
      <c r="R129" s="16">
        <f>IF($I129="","",$I129-TODAY())</f>
        <v/>
      </c>
      <c r="S129" s="12">
        <f>IF(AND($I129&lt;&gt;"",$I129&lt;TODAY(),NOT(OR($O129="Ferdig",$O129="Korrekturlest"))),"OVERDUE","")</f>
        <v/>
      </c>
      <c r="T129" s="12" t="inlineStr">
        <is>
          <t>Middels</t>
        </is>
      </c>
      <c r="U129" s="12" t="inlineStr"/>
      <c r="V129" s="12" t="inlineStr"/>
      <c r="W129" s="12" t="inlineStr"/>
      <c r="X129" s="14" t="inlineStr"/>
    </row>
    <row r="130" ht="20" customHeight="1">
      <c r="A130" s="12" t="inlineStr"/>
      <c r="B130" s="12" t="inlineStr"/>
      <c r="C130" s="12" t="inlineStr"/>
      <c r="D130" s="12" t="inlineStr"/>
      <c r="E130" s="6" t="inlineStr"/>
      <c r="F130" s="13" t="inlineStr"/>
      <c r="G130" s="13" t="inlineStr"/>
      <c r="H130" s="14" t="inlineStr"/>
      <c r="I130" s="14" t="inlineStr"/>
      <c r="J130" s="14" t="inlineStr"/>
      <c r="K130" s="14" t="inlineStr"/>
      <c r="L130" s="12" t="inlineStr"/>
      <c r="M130" s="12" t="inlineStr"/>
      <c r="N130" s="12" t="inlineStr"/>
      <c r="O130" s="12">
        <f>IF($N130="x","Korrekturlest",IF($M130="x","Ferdig",IF($L130="x","Mest ferdig",IF($J130&lt;&gt;"","Pågår","Ikke startet"))))</f>
        <v/>
      </c>
      <c r="P130" s="12" t="inlineStr">
        <is>
          <t>Ikke sendt</t>
        </is>
      </c>
      <c r="Q130" s="15">
        <f>IF($D130="","",IFERROR(VLOOKUP($O130,Lists!$A$2:$B$6,2,FALSE),0))</f>
        <v/>
      </c>
      <c r="R130" s="16">
        <f>IF($I130="","",$I130-TODAY())</f>
        <v/>
      </c>
      <c r="S130" s="12">
        <f>IF(AND($I130&lt;&gt;"",$I130&lt;TODAY(),NOT(OR($O130="Ferdig",$O130="Korrekturlest"))),"OVERDUE","")</f>
        <v/>
      </c>
      <c r="T130" s="12" t="inlineStr">
        <is>
          <t>Middels</t>
        </is>
      </c>
      <c r="U130" s="12" t="inlineStr"/>
      <c r="V130" s="12" t="inlineStr"/>
      <c r="W130" s="12" t="inlineStr"/>
      <c r="X130" s="14" t="inlineStr"/>
    </row>
    <row r="131" ht="20" customHeight="1">
      <c r="A131" s="12" t="inlineStr"/>
      <c r="B131" s="12" t="inlineStr"/>
      <c r="C131" s="12" t="inlineStr"/>
      <c r="D131" s="12" t="inlineStr"/>
      <c r="E131" s="6" t="inlineStr"/>
      <c r="F131" s="13" t="inlineStr"/>
      <c r="G131" s="13" t="inlineStr"/>
      <c r="H131" s="14" t="inlineStr"/>
      <c r="I131" s="14" t="inlineStr"/>
      <c r="J131" s="14" t="inlineStr"/>
      <c r="K131" s="14" t="inlineStr"/>
      <c r="L131" s="12" t="inlineStr"/>
      <c r="M131" s="12" t="inlineStr"/>
      <c r="N131" s="12" t="inlineStr"/>
      <c r="O131" s="12">
        <f>IF($N131="x","Korrekturlest",IF($M131="x","Ferdig",IF($L131="x","Mest ferdig",IF($J131&lt;&gt;"","Pågår","Ikke startet"))))</f>
        <v/>
      </c>
      <c r="P131" s="12" t="inlineStr">
        <is>
          <t>Ikke sendt</t>
        </is>
      </c>
      <c r="Q131" s="15">
        <f>IF($D131="","",IFERROR(VLOOKUP($O131,Lists!$A$2:$B$6,2,FALSE),0))</f>
        <v/>
      </c>
      <c r="R131" s="16">
        <f>IF($I131="","",$I131-TODAY())</f>
        <v/>
      </c>
      <c r="S131" s="12">
        <f>IF(AND($I131&lt;&gt;"",$I131&lt;TODAY(),NOT(OR($O131="Ferdig",$O131="Korrekturlest"))),"OVERDUE","")</f>
        <v/>
      </c>
      <c r="T131" s="12" t="inlineStr">
        <is>
          <t>Middels</t>
        </is>
      </c>
      <c r="U131" s="12" t="inlineStr"/>
      <c r="V131" s="12" t="inlineStr"/>
      <c r="W131" s="12" t="inlineStr"/>
      <c r="X131" s="14" t="inlineStr"/>
    </row>
    <row r="132" ht="20" customHeight="1">
      <c r="A132" s="12" t="inlineStr"/>
      <c r="B132" s="12" t="inlineStr"/>
      <c r="C132" s="12" t="inlineStr"/>
      <c r="D132" s="12" t="inlineStr"/>
      <c r="E132" s="6" t="inlineStr"/>
      <c r="F132" s="13" t="inlineStr"/>
      <c r="G132" s="13" t="inlineStr"/>
      <c r="H132" s="14" t="inlineStr"/>
      <c r="I132" s="14" t="inlineStr"/>
      <c r="J132" s="14" t="inlineStr"/>
      <c r="K132" s="14" t="inlineStr"/>
      <c r="L132" s="12" t="inlineStr"/>
      <c r="M132" s="12" t="inlineStr"/>
      <c r="N132" s="12" t="inlineStr"/>
      <c r="O132" s="12">
        <f>IF($N132="x","Korrekturlest",IF($M132="x","Ferdig",IF($L132="x","Mest ferdig",IF($J132&lt;&gt;"","Pågår","Ikke startet"))))</f>
        <v/>
      </c>
      <c r="P132" s="12" t="inlineStr">
        <is>
          <t>Ikke sendt</t>
        </is>
      </c>
      <c r="Q132" s="15">
        <f>IF($D132="","",IFERROR(VLOOKUP($O132,Lists!$A$2:$B$6,2,FALSE),0))</f>
        <v/>
      </c>
      <c r="R132" s="16">
        <f>IF($I132="","",$I132-TODAY())</f>
        <v/>
      </c>
      <c r="S132" s="12">
        <f>IF(AND($I132&lt;&gt;"",$I132&lt;TODAY(),NOT(OR($O132="Ferdig",$O132="Korrekturlest"))),"OVERDUE","")</f>
        <v/>
      </c>
      <c r="T132" s="12" t="inlineStr">
        <is>
          <t>Middels</t>
        </is>
      </c>
      <c r="U132" s="12" t="inlineStr"/>
      <c r="V132" s="12" t="inlineStr"/>
      <c r="W132" s="12" t="inlineStr"/>
      <c r="X132" s="14" t="inlineStr"/>
    </row>
    <row r="133" ht="20" customHeight="1">
      <c r="A133" s="12" t="inlineStr"/>
      <c r="B133" s="12" t="inlineStr"/>
      <c r="C133" s="12" t="inlineStr"/>
      <c r="D133" s="12" t="inlineStr"/>
      <c r="E133" s="6" t="inlineStr"/>
      <c r="F133" s="13" t="inlineStr"/>
      <c r="G133" s="13" t="inlineStr"/>
      <c r="H133" s="14" t="inlineStr"/>
      <c r="I133" s="14" t="inlineStr"/>
      <c r="J133" s="14" t="inlineStr"/>
      <c r="K133" s="14" t="inlineStr"/>
      <c r="L133" s="12" t="inlineStr"/>
      <c r="M133" s="12" t="inlineStr"/>
      <c r="N133" s="12" t="inlineStr"/>
      <c r="O133" s="12">
        <f>IF($N133="x","Korrekturlest",IF($M133="x","Ferdig",IF($L133="x","Mest ferdig",IF($J133&lt;&gt;"","Pågår","Ikke startet"))))</f>
        <v/>
      </c>
      <c r="P133" s="12" t="inlineStr">
        <is>
          <t>Ikke sendt</t>
        </is>
      </c>
      <c r="Q133" s="15">
        <f>IF($D133="","",IFERROR(VLOOKUP($O133,Lists!$A$2:$B$6,2,FALSE),0))</f>
        <v/>
      </c>
      <c r="R133" s="16">
        <f>IF($I133="","",$I133-TODAY())</f>
        <v/>
      </c>
      <c r="S133" s="12">
        <f>IF(AND($I133&lt;&gt;"",$I133&lt;TODAY(),NOT(OR($O133="Ferdig",$O133="Korrekturlest"))),"OVERDUE","")</f>
        <v/>
      </c>
      <c r="T133" s="12" t="inlineStr">
        <is>
          <t>Middels</t>
        </is>
      </c>
      <c r="U133" s="12" t="inlineStr"/>
      <c r="V133" s="12" t="inlineStr"/>
      <c r="W133" s="12" t="inlineStr"/>
      <c r="X133" s="14" t="inlineStr"/>
    </row>
    <row r="134" ht="20" customHeight="1">
      <c r="A134" s="12" t="inlineStr"/>
      <c r="B134" s="12" t="inlineStr"/>
      <c r="C134" s="12" t="inlineStr"/>
      <c r="D134" s="12" t="inlineStr"/>
      <c r="E134" s="6" t="inlineStr"/>
      <c r="F134" s="13" t="inlineStr"/>
      <c r="G134" s="13" t="inlineStr"/>
      <c r="H134" s="14" t="inlineStr"/>
      <c r="I134" s="14" t="inlineStr"/>
      <c r="J134" s="14" t="inlineStr"/>
      <c r="K134" s="14" t="inlineStr"/>
      <c r="L134" s="12" t="inlineStr"/>
      <c r="M134" s="12" t="inlineStr"/>
      <c r="N134" s="12" t="inlineStr"/>
      <c r="O134" s="12">
        <f>IF($N134="x","Korrekturlest",IF($M134="x","Ferdig",IF($L134="x","Mest ferdig",IF($J134&lt;&gt;"","Pågår","Ikke startet"))))</f>
        <v/>
      </c>
      <c r="P134" s="12" t="inlineStr">
        <is>
          <t>Ikke sendt</t>
        </is>
      </c>
      <c r="Q134" s="15">
        <f>IF($D134="","",IFERROR(VLOOKUP($O134,Lists!$A$2:$B$6,2,FALSE),0))</f>
        <v/>
      </c>
      <c r="R134" s="16">
        <f>IF($I134="","",$I134-TODAY())</f>
        <v/>
      </c>
      <c r="S134" s="12">
        <f>IF(AND($I134&lt;&gt;"",$I134&lt;TODAY(),NOT(OR($O134="Ferdig",$O134="Korrekturlest"))),"OVERDUE","")</f>
        <v/>
      </c>
      <c r="T134" s="12" t="inlineStr">
        <is>
          <t>Middels</t>
        </is>
      </c>
      <c r="U134" s="12" t="inlineStr"/>
      <c r="V134" s="12" t="inlineStr"/>
      <c r="W134" s="12" t="inlineStr"/>
      <c r="X134" s="14" t="inlineStr"/>
    </row>
    <row r="135" ht="20" customHeight="1">
      <c r="A135" s="12" t="inlineStr"/>
      <c r="B135" s="12" t="inlineStr"/>
      <c r="C135" s="12" t="inlineStr"/>
      <c r="D135" s="12" t="inlineStr"/>
      <c r="E135" s="6" t="inlineStr"/>
      <c r="F135" s="13" t="inlineStr"/>
      <c r="G135" s="13" t="inlineStr"/>
      <c r="H135" s="14" t="inlineStr"/>
      <c r="I135" s="14" t="inlineStr"/>
      <c r="J135" s="14" t="inlineStr"/>
      <c r="K135" s="14" t="inlineStr"/>
      <c r="L135" s="12" t="inlineStr"/>
      <c r="M135" s="12" t="inlineStr"/>
      <c r="N135" s="12" t="inlineStr"/>
      <c r="O135" s="12">
        <f>IF($N135="x","Korrekturlest",IF($M135="x","Ferdig",IF($L135="x","Mest ferdig",IF($J135&lt;&gt;"","Pågår","Ikke startet"))))</f>
        <v/>
      </c>
      <c r="P135" s="12" t="inlineStr">
        <is>
          <t>Ikke sendt</t>
        </is>
      </c>
      <c r="Q135" s="15">
        <f>IF($D135="","",IFERROR(VLOOKUP($O135,Lists!$A$2:$B$6,2,FALSE),0))</f>
        <v/>
      </c>
      <c r="R135" s="16">
        <f>IF($I135="","",$I135-TODAY())</f>
        <v/>
      </c>
      <c r="S135" s="12">
        <f>IF(AND($I135&lt;&gt;"",$I135&lt;TODAY(),NOT(OR($O135="Ferdig",$O135="Korrekturlest"))),"OVERDUE","")</f>
        <v/>
      </c>
      <c r="T135" s="12" t="inlineStr">
        <is>
          <t>Middels</t>
        </is>
      </c>
      <c r="U135" s="12" t="inlineStr"/>
      <c r="V135" s="12" t="inlineStr"/>
      <c r="W135" s="12" t="inlineStr"/>
      <c r="X135" s="14" t="inlineStr"/>
    </row>
    <row r="136" ht="20" customHeight="1">
      <c r="A136" s="12" t="inlineStr"/>
      <c r="B136" s="12" t="inlineStr"/>
      <c r="C136" s="12" t="inlineStr"/>
      <c r="D136" s="12" t="inlineStr"/>
      <c r="E136" s="6" t="inlineStr"/>
      <c r="F136" s="13" t="inlineStr"/>
      <c r="G136" s="13" t="inlineStr"/>
      <c r="H136" s="14" t="inlineStr"/>
      <c r="I136" s="14" t="inlineStr"/>
      <c r="J136" s="14" t="inlineStr"/>
      <c r="K136" s="14" t="inlineStr"/>
      <c r="L136" s="12" t="inlineStr"/>
      <c r="M136" s="12" t="inlineStr"/>
      <c r="N136" s="12" t="inlineStr"/>
      <c r="O136" s="12">
        <f>IF($N136="x","Korrekturlest",IF($M136="x","Ferdig",IF($L136="x","Mest ferdig",IF($J136&lt;&gt;"","Pågår","Ikke startet"))))</f>
        <v/>
      </c>
      <c r="P136" s="12" t="inlineStr">
        <is>
          <t>Ikke sendt</t>
        </is>
      </c>
      <c r="Q136" s="15">
        <f>IF($D136="","",IFERROR(VLOOKUP($O136,Lists!$A$2:$B$6,2,FALSE),0))</f>
        <v/>
      </c>
      <c r="R136" s="16">
        <f>IF($I136="","",$I136-TODAY())</f>
        <v/>
      </c>
      <c r="S136" s="12">
        <f>IF(AND($I136&lt;&gt;"",$I136&lt;TODAY(),NOT(OR($O136="Ferdig",$O136="Korrekturlest"))),"OVERDUE","")</f>
        <v/>
      </c>
      <c r="T136" s="12" t="inlineStr">
        <is>
          <t>Middels</t>
        </is>
      </c>
      <c r="U136" s="12" t="inlineStr"/>
      <c r="V136" s="12" t="inlineStr"/>
      <c r="W136" s="12" t="inlineStr"/>
      <c r="X136" s="14" t="inlineStr"/>
    </row>
    <row r="137" ht="20" customHeight="1">
      <c r="A137" s="12" t="inlineStr"/>
      <c r="B137" s="12" t="inlineStr"/>
      <c r="C137" s="12" t="inlineStr"/>
      <c r="D137" s="12" t="inlineStr"/>
      <c r="E137" s="6" t="inlineStr"/>
      <c r="F137" s="13" t="inlineStr"/>
      <c r="G137" s="13" t="inlineStr"/>
      <c r="H137" s="14" t="inlineStr"/>
      <c r="I137" s="14" t="inlineStr"/>
      <c r="J137" s="14" t="inlineStr"/>
      <c r="K137" s="14" t="inlineStr"/>
      <c r="L137" s="12" t="inlineStr"/>
      <c r="M137" s="12" t="inlineStr"/>
      <c r="N137" s="12" t="inlineStr"/>
      <c r="O137" s="12">
        <f>IF($N137="x","Korrekturlest",IF($M137="x","Ferdig",IF($L137="x","Mest ferdig",IF($J137&lt;&gt;"","Pågår","Ikke startet"))))</f>
        <v/>
      </c>
      <c r="P137" s="12" t="inlineStr">
        <is>
          <t>Ikke sendt</t>
        </is>
      </c>
      <c r="Q137" s="15">
        <f>IF($D137="","",IFERROR(VLOOKUP($O137,Lists!$A$2:$B$6,2,FALSE),0))</f>
        <v/>
      </c>
      <c r="R137" s="16">
        <f>IF($I137="","",$I137-TODAY())</f>
        <v/>
      </c>
      <c r="S137" s="12">
        <f>IF(AND($I137&lt;&gt;"",$I137&lt;TODAY(),NOT(OR($O137="Ferdig",$O137="Korrekturlest"))),"OVERDUE","")</f>
        <v/>
      </c>
      <c r="T137" s="12" t="inlineStr">
        <is>
          <t>Middels</t>
        </is>
      </c>
      <c r="U137" s="12" t="inlineStr"/>
      <c r="V137" s="12" t="inlineStr"/>
      <c r="W137" s="12" t="inlineStr"/>
      <c r="X137" s="14" t="inlineStr"/>
    </row>
    <row r="138" ht="20" customHeight="1">
      <c r="A138" s="12" t="inlineStr"/>
      <c r="B138" s="12" t="inlineStr"/>
      <c r="C138" s="12" t="inlineStr"/>
      <c r="D138" s="12" t="inlineStr"/>
      <c r="E138" s="6" t="inlineStr"/>
      <c r="F138" s="13" t="inlineStr"/>
      <c r="G138" s="13" t="inlineStr"/>
      <c r="H138" s="14" t="inlineStr"/>
      <c r="I138" s="14" t="inlineStr"/>
      <c r="J138" s="14" t="inlineStr"/>
      <c r="K138" s="14" t="inlineStr"/>
      <c r="L138" s="12" t="inlineStr"/>
      <c r="M138" s="12" t="inlineStr"/>
      <c r="N138" s="12" t="inlineStr"/>
      <c r="O138" s="12">
        <f>IF($N138="x","Korrekturlest",IF($M138="x","Ferdig",IF($L138="x","Mest ferdig",IF($J138&lt;&gt;"","Pågår","Ikke startet"))))</f>
        <v/>
      </c>
      <c r="P138" s="12" t="inlineStr">
        <is>
          <t>Ikke sendt</t>
        </is>
      </c>
      <c r="Q138" s="15">
        <f>IF($D138="","",IFERROR(VLOOKUP($O138,Lists!$A$2:$B$6,2,FALSE),0))</f>
        <v/>
      </c>
      <c r="R138" s="16">
        <f>IF($I138="","",$I138-TODAY())</f>
        <v/>
      </c>
      <c r="S138" s="12">
        <f>IF(AND($I138&lt;&gt;"",$I138&lt;TODAY(),NOT(OR($O138="Ferdig",$O138="Korrekturlest"))),"OVERDUE","")</f>
        <v/>
      </c>
      <c r="T138" s="12" t="inlineStr">
        <is>
          <t>Middels</t>
        </is>
      </c>
      <c r="U138" s="12" t="inlineStr"/>
      <c r="V138" s="12" t="inlineStr"/>
      <c r="W138" s="12" t="inlineStr"/>
      <c r="X138" s="14" t="inlineStr"/>
    </row>
    <row r="139" ht="20" customHeight="1">
      <c r="A139" s="12" t="inlineStr"/>
      <c r="B139" s="12" t="inlineStr"/>
      <c r="C139" s="12" t="inlineStr"/>
      <c r="D139" s="12" t="inlineStr"/>
      <c r="E139" s="6" t="inlineStr"/>
      <c r="F139" s="13" t="inlineStr"/>
      <c r="G139" s="13" t="inlineStr"/>
      <c r="H139" s="14" t="inlineStr"/>
      <c r="I139" s="14" t="inlineStr"/>
      <c r="J139" s="14" t="inlineStr"/>
      <c r="K139" s="14" t="inlineStr"/>
      <c r="L139" s="12" t="inlineStr"/>
      <c r="M139" s="12" t="inlineStr"/>
      <c r="N139" s="12" t="inlineStr"/>
      <c r="O139" s="12">
        <f>IF($N139="x","Korrekturlest",IF($M139="x","Ferdig",IF($L139="x","Mest ferdig",IF($J139&lt;&gt;"","Pågår","Ikke startet"))))</f>
        <v/>
      </c>
      <c r="P139" s="12" t="inlineStr">
        <is>
          <t>Ikke sendt</t>
        </is>
      </c>
      <c r="Q139" s="15">
        <f>IF($D139="","",IFERROR(VLOOKUP($O139,Lists!$A$2:$B$6,2,FALSE),0))</f>
        <v/>
      </c>
      <c r="R139" s="16">
        <f>IF($I139="","",$I139-TODAY())</f>
        <v/>
      </c>
      <c r="S139" s="12">
        <f>IF(AND($I139&lt;&gt;"",$I139&lt;TODAY(),NOT(OR($O139="Ferdig",$O139="Korrekturlest"))),"OVERDUE","")</f>
        <v/>
      </c>
      <c r="T139" s="12" t="inlineStr">
        <is>
          <t>Middels</t>
        </is>
      </c>
      <c r="U139" s="12" t="inlineStr"/>
      <c r="V139" s="12" t="inlineStr"/>
      <c r="W139" s="12" t="inlineStr"/>
      <c r="X139" s="14" t="inlineStr"/>
    </row>
    <row r="140" ht="20" customHeight="1">
      <c r="A140" s="12" t="inlineStr"/>
      <c r="B140" s="12" t="inlineStr"/>
      <c r="C140" s="12" t="inlineStr"/>
      <c r="D140" s="12" t="inlineStr"/>
      <c r="E140" s="6" t="inlineStr"/>
      <c r="F140" s="13" t="inlineStr"/>
      <c r="G140" s="13" t="inlineStr"/>
      <c r="H140" s="14" t="inlineStr"/>
      <c r="I140" s="14" t="inlineStr"/>
      <c r="J140" s="14" t="inlineStr"/>
      <c r="K140" s="14" t="inlineStr"/>
      <c r="L140" s="12" t="inlineStr"/>
      <c r="M140" s="12" t="inlineStr"/>
      <c r="N140" s="12" t="inlineStr"/>
      <c r="O140" s="12">
        <f>IF($N140="x","Korrekturlest",IF($M140="x","Ferdig",IF($L140="x","Mest ferdig",IF($J140&lt;&gt;"","Pågår","Ikke startet"))))</f>
        <v/>
      </c>
      <c r="P140" s="12" t="inlineStr">
        <is>
          <t>Ikke sendt</t>
        </is>
      </c>
      <c r="Q140" s="15">
        <f>IF($D140="","",IFERROR(VLOOKUP($O140,Lists!$A$2:$B$6,2,FALSE),0))</f>
        <v/>
      </c>
      <c r="R140" s="16">
        <f>IF($I140="","",$I140-TODAY())</f>
        <v/>
      </c>
      <c r="S140" s="12">
        <f>IF(AND($I140&lt;&gt;"",$I140&lt;TODAY(),NOT(OR($O140="Ferdig",$O140="Korrekturlest"))),"OVERDUE","")</f>
        <v/>
      </c>
      <c r="T140" s="12" t="inlineStr">
        <is>
          <t>Middels</t>
        </is>
      </c>
      <c r="U140" s="12" t="inlineStr"/>
      <c r="V140" s="12" t="inlineStr"/>
      <c r="W140" s="12" t="inlineStr"/>
      <c r="X140" s="14" t="inlineStr"/>
    </row>
    <row r="141" ht="20" customHeight="1">
      <c r="A141" s="12" t="inlineStr"/>
      <c r="B141" s="12" t="inlineStr"/>
      <c r="C141" s="12" t="inlineStr"/>
      <c r="D141" s="12" t="inlineStr"/>
      <c r="E141" s="6" t="inlineStr"/>
      <c r="F141" s="13" t="inlineStr"/>
      <c r="G141" s="13" t="inlineStr"/>
      <c r="H141" s="14" t="inlineStr"/>
      <c r="I141" s="14" t="inlineStr"/>
      <c r="J141" s="14" t="inlineStr"/>
      <c r="K141" s="14" t="inlineStr"/>
      <c r="L141" s="12" t="inlineStr"/>
      <c r="M141" s="12" t="inlineStr"/>
      <c r="N141" s="12" t="inlineStr"/>
      <c r="O141" s="12">
        <f>IF($N141="x","Korrekturlest",IF($M141="x","Ferdig",IF($L141="x","Mest ferdig",IF($J141&lt;&gt;"","Pågår","Ikke startet"))))</f>
        <v/>
      </c>
      <c r="P141" s="12" t="inlineStr">
        <is>
          <t>Ikke sendt</t>
        </is>
      </c>
      <c r="Q141" s="15">
        <f>IF($D141="","",IFERROR(VLOOKUP($O141,Lists!$A$2:$B$6,2,FALSE),0))</f>
        <v/>
      </c>
      <c r="R141" s="16">
        <f>IF($I141="","",$I141-TODAY())</f>
        <v/>
      </c>
      <c r="S141" s="12">
        <f>IF(AND($I141&lt;&gt;"",$I141&lt;TODAY(),NOT(OR($O141="Ferdig",$O141="Korrekturlest"))),"OVERDUE","")</f>
        <v/>
      </c>
      <c r="T141" s="12" t="inlineStr">
        <is>
          <t>Middels</t>
        </is>
      </c>
      <c r="U141" s="12" t="inlineStr"/>
      <c r="V141" s="12" t="inlineStr"/>
      <c r="W141" s="12" t="inlineStr"/>
      <c r="X141" s="14" t="inlineStr"/>
    </row>
    <row r="142" ht="20" customHeight="1">
      <c r="A142" s="12" t="inlineStr"/>
      <c r="B142" s="12" t="inlineStr"/>
      <c r="C142" s="12" t="inlineStr"/>
      <c r="D142" s="12" t="inlineStr"/>
      <c r="E142" s="6" t="inlineStr"/>
      <c r="F142" s="13" t="inlineStr"/>
      <c r="G142" s="13" t="inlineStr"/>
      <c r="H142" s="14" t="inlineStr"/>
      <c r="I142" s="14" t="inlineStr"/>
      <c r="J142" s="14" t="inlineStr"/>
      <c r="K142" s="14" t="inlineStr"/>
      <c r="L142" s="12" t="inlineStr"/>
      <c r="M142" s="12" t="inlineStr"/>
      <c r="N142" s="12" t="inlineStr"/>
      <c r="O142" s="12">
        <f>IF($N142="x","Korrekturlest",IF($M142="x","Ferdig",IF($L142="x","Mest ferdig",IF($J142&lt;&gt;"","Pågår","Ikke startet"))))</f>
        <v/>
      </c>
      <c r="P142" s="12" t="inlineStr">
        <is>
          <t>Ikke sendt</t>
        </is>
      </c>
      <c r="Q142" s="15">
        <f>IF($D142="","",IFERROR(VLOOKUP($O142,Lists!$A$2:$B$6,2,FALSE),0))</f>
        <v/>
      </c>
      <c r="R142" s="16">
        <f>IF($I142="","",$I142-TODAY())</f>
        <v/>
      </c>
      <c r="S142" s="12">
        <f>IF(AND($I142&lt;&gt;"",$I142&lt;TODAY(),NOT(OR($O142="Ferdig",$O142="Korrekturlest"))),"OVERDUE","")</f>
        <v/>
      </c>
      <c r="T142" s="12" t="inlineStr">
        <is>
          <t>Middels</t>
        </is>
      </c>
      <c r="U142" s="12" t="inlineStr"/>
      <c r="V142" s="12" t="inlineStr"/>
      <c r="W142" s="12" t="inlineStr"/>
      <c r="X142" s="14" t="inlineStr"/>
    </row>
    <row r="143" ht="20" customHeight="1">
      <c r="A143" s="12" t="inlineStr"/>
      <c r="B143" s="12" t="inlineStr"/>
      <c r="C143" s="12" t="inlineStr"/>
      <c r="D143" s="12" t="inlineStr"/>
      <c r="E143" s="6" t="inlineStr"/>
      <c r="F143" s="13" t="inlineStr"/>
      <c r="G143" s="13" t="inlineStr"/>
      <c r="H143" s="14" t="inlineStr"/>
      <c r="I143" s="14" t="inlineStr"/>
      <c r="J143" s="14" t="inlineStr"/>
      <c r="K143" s="14" t="inlineStr"/>
      <c r="L143" s="12" t="inlineStr"/>
      <c r="M143" s="12" t="inlineStr"/>
      <c r="N143" s="12" t="inlineStr"/>
      <c r="O143" s="12">
        <f>IF($N143="x","Korrekturlest",IF($M143="x","Ferdig",IF($L143="x","Mest ferdig",IF($J143&lt;&gt;"","Pågår","Ikke startet"))))</f>
        <v/>
      </c>
      <c r="P143" s="12" t="inlineStr">
        <is>
          <t>Ikke sendt</t>
        </is>
      </c>
      <c r="Q143" s="15">
        <f>IF($D143="","",IFERROR(VLOOKUP($O143,Lists!$A$2:$B$6,2,FALSE),0))</f>
        <v/>
      </c>
      <c r="R143" s="16">
        <f>IF($I143="","",$I143-TODAY())</f>
        <v/>
      </c>
      <c r="S143" s="12">
        <f>IF(AND($I143&lt;&gt;"",$I143&lt;TODAY(),NOT(OR($O143="Ferdig",$O143="Korrekturlest"))),"OVERDUE","")</f>
        <v/>
      </c>
      <c r="T143" s="12" t="inlineStr">
        <is>
          <t>Middels</t>
        </is>
      </c>
      <c r="U143" s="12" t="inlineStr"/>
      <c r="V143" s="12" t="inlineStr"/>
      <c r="W143" s="12" t="inlineStr"/>
      <c r="X143" s="14" t="inlineStr"/>
    </row>
    <row r="144" ht="20" customHeight="1">
      <c r="A144" s="12" t="inlineStr"/>
      <c r="B144" s="12" t="inlineStr"/>
      <c r="C144" s="12" t="inlineStr"/>
      <c r="D144" s="12" t="inlineStr"/>
      <c r="E144" s="6" t="inlineStr"/>
      <c r="F144" s="13" t="inlineStr"/>
      <c r="G144" s="13" t="inlineStr"/>
      <c r="H144" s="14" t="inlineStr"/>
      <c r="I144" s="14" t="inlineStr"/>
      <c r="J144" s="14" t="inlineStr"/>
      <c r="K144" s="14" t="inlineStr"/>
      <c r="L144" s="12" t="inlineStr"/>
      <c r="M144" s="12" t="inlineStr"/>
      <c r="N144" s="12" t="inlineStr"/>
      <c r="O144" s="12">
        <f>IF($N144="x","Korrekturlest",IF($M144="x","Ferdig",IF($L144="x","Mest ferdig",IF($J144&lt;&gt;"","Pågår","Ikke startet"))))</f>
        <v/>
      </c>
      <c r="P144" s="12" t="inlineStr">
        <is>
          <t>Ikke sendt</t>
        </is>
      </c>
      <c r="Q144" s="15">
        <f>IF($D144="","",IFERROR(VLOOKUP($O144,Lists!$A$2:$B$6,2,FALSE),0))</f>
        <v/>
      </c>
      <c r="R144" s="16">
        <f>IF($I144="","",$I144-TODAY())</f>
        <v/>
      </c>
      <c r="S144" s="12">
        <f>IF(AND($I144&lt;&gt;"",$I144&lt;TODAY(),NOT(OR($O144="Ferdig",$O144="Korrekturlest"))),"OVERDUE","")</f>
        <v/>
      </c>
      <c r="T144" s="12" t="inlineStr">
        <is>
          <t>Middels</t>
        </is>
      </c>
      <c r="U144" s="12" t="inlineStr"/>
      <c r="V144" s="12" t="inlineStr"/>
      <c r="W144" s="12" t="inlineStr"/>
      <c r="X144" s="14" t="inlineStr"/>
    </row>
    <row r="145" ht="20" customHeight="1">
      <c r="A145" s="12" t="inlineStr"/>
      <c r="B145" s="12" t="inlineStr"/>
      <c r="C145" s="12" t="inlineStr"/>
      <c r="D145" s="12" t="inlineStr"/>
      <c r="E145" s="6" t="inlineStr"/>
      <c r="F145" s="13" t="inlineStr"/>
      <c r="G145" s="13" t="inlineStr"/>
      <c r="H145" s="14" t="inlineStr"/>
      <c r="I145" s="14" t="inlineStr"/>
      <c r="J145" s="14" t="inlineStr"/>
      <c r="K145" s="14" t="inlineStr"/>
      <c r="L145" s="12" t="inlineStr"/>
      <c r="M145" s="12" t="inlineStr"/>
      <c r="N145" s="12" t="inlineStr"/>
      <c r="O145" s="12">
        <f>IF($N145="x","Korrekturlest",IF($M145="x","Ferdig",IF($L145="x","Mest ferdig",IF($J145&lt;&gt;"","Pågår","Ikke startet"))))</f>
        <v/>
      </c>
      <c r="P145" s="12" t="inlineStr">
        <is>
          <t>Ikke sendt</t>
        </is>
      </c>
      <c r="Q145" s="15">
        <f>IF($D145="","",IFERROR(VLOOKUP($O145,Lists!$A$2:$B$6,2,FALSE),0))</f>
        <v/>
      </c>
      <c r="R145" s="16">
        <f>IF($I145="","",$I145-TODAY())</f>
        <v/>
      </c>
      <c r="S145" s="12">
        <f>IF(AND($I145&lt;&gt;"",$I145&lt;TODAY(),NOT(OR($O145="Ferdig",$O145="Korrekturlest"))),"OVERDUE","")</f>
        <v/>
      </c>
      <c r="T145" s="12" t="inlineStr">
        <is>
          <t>Middels</t>
        </is>
      </c>
      <c r="U145" s="12" t="inlineStr"/>
      <c r="V145" s="12" t="inlineStr"/>
      <c r="W145" s="12" t="inlineStr"/>
      <c r="X145" s="14" t="inlineStr"/>
    </row>
    <row r="146" ht="20" customHeight="1">
      <c r="A146" s="12" t="inlineStr"/>
      <c r="B146" s="12" t="inlineStr"/>
      <c r="C146" s="12" t="inlineStr"/>
      <c r="D146" s="12" t="inlineStr"/>
      <c r="E146" s="6" t="inlineStr"/>
      <c r="F146" s="13" t="inlineStr"/>
      <c r="G146" s="13" t="inlineStr"/>
      <c r="H146" s="14" t="inlineStr"/>
      <c r="I146" s="14" t="inlineStr"/>
      <c r="J146" s="14" t="inlineStr"/>
      <c r="K146" s="14" t="inlineStr"/>
      <c r="L146" s="12" t="inlineStr"/>
      <c r="M146" s="12" t="inlineStr"/>
      <c r="N146" s="12" t="inlineStr"/>
      <c r="O146" s="12">
        <f>IF($N146="x","Korrekturlest",IF($M146="x","Ferdig",IF($L146="x","Mest ferdig",IF($J146&lt;&gt;"","Pågår","Ikke startet"))))</f>
        <v/>
      </c>
      <c r="P146" s="12" t="inlineStr">
        <is>
          <t>Ikke sendt</t>
        </is>
      </c>
      <c r="Q146" s="15">
        <f>IF($D146="","",IFERROR(VLOOKUP($O146,Lists!$A$2:$B$6,2,FALSE),0))</f>
        <v/>
      </c>
      <c r="R146" s="16">
        <f>IF($I146="","",$I146-TODAY())</f>
        <v/>
      </c>
      <c r="S146" s="12">
        <f>IF(AND($I146&lt;&gt;"",$I146&lt;TODAY(),NOT(OR($O146="Ferdig",$O146="Korrekturlest"))),"OVERDUE","")</f>
        <v/>
      </c>
      <c r="T146" s="12" t="inlineStr">
        <is>
          <t>Middels</t>
        </is>
      </c>
      <c r="U146" s="12" t="inlineStr"/>
      <c r="V146" s="12" t="inlineStr"/>
      <c r="W146" s="12" t="inlineStr"/>
      <c r="X146" s="14" t="inlineStr"/>
    </row>
    <row r="147" ht="20" customHeight="1">
      <c r="A147" s="12" t="inlineStr"/>
      <c r="B147" s="12" t="inlineStr"/>
      <c r="C147" s="12" t="inlineStr"/>
      <c r="D147" s="12" t="inlineStr"/>
      <c r="E147" s="6" t="inlineStr"/>
      <c r="F147" s="13" t="inlineStr"/>
      <c r="G147" s="13" t="inlineStr"/>
      <c r="H147" s="14" t="inlineStr"/>
      <c r="I147" s="14" t="inlineStr"/>
      <c r="J147" s="14" t="inlineStr"/>
      <c r="K147" s="14" t="inlineStr"/>
      <c r="L147" s="12" t="inlineStr"/>
      <c r="M147" s="12" t="inlineStr"/>
      <c r="N147" s="12" t="inlineStr"/>
      <c r="O147" s="12">
        <f>IF($N147="x","Korrekturlest",IF($M147="x","Ferdig",IF($L147="x","Mest ferdig",IF($J147&lt;&gt;"","Pågår","Ikke startet"))))</f>
        <v/>
      </c>
      <c r="P147" s="12" t="inlineStr">
        <is>
          <t>Ikke sendt</t>
        </is>
      </c>
      <c r="Q147" s="15">
        <f>IF($D147="","",IFERROR(VLOOKUP($O147,Lists!$A$2:$B$6,2,FALSE),0))</f>
        <v/>
      </c>
      <c r="R147" s="16">
        <f>IF($I147="","",$I147-TODAY())</f>
        <v/>
      </c>
      <c r="S147" s="12">
        <f>IF(AND($I147&lt;&gt;"",$I147&lt;TODAY(),NOT(OR($O147="Ferdig",$O147="Korrekturlest"))),"OVERDUE","")</f>
        <v/>
      </c>
      <c r="T147" s="12" t="inlineStr">
        <is>
          <t>Middels</t>
        </is>
      </c>
      <c r="U147" s="12" t="inlineStr"/>
      <c r="V147" s="12" t="inlineStr"/>
      <c r="W147" s="12" t="inlineStr"/>
      <c r="X147" s="14" t="inlineStr"/>
    </row>
    <row r="148" ht="20" customHeight="1">
      <c r="A148" s="12" t="inlineStr"/>
      <c r="B148" s="12" t="inlineStr"/>
      <c r="C148" s="12" t="inlineStr"/>
      <c r="D148" s="12" t="inlineStr"/>
      <c r="E148" s="6" t="inlineStr"/>
      <c r="F148" s="13" t="inlineStr"/>
      <c r="G148" s="13" t="inlineStr"/>
      <c r="H148" s="14" t="inlineStr"/>
      <c r="I148" s="14" t="inlineStr"/>
      <c r="J148" s="14" t="inlineStr"/>
      <c r="K148" s="14" t="inlineStr"/>
      <c r="L148" s="12" t="inlineStr"/>
      <c r="M148" s="12" t="inlineStr"/>
      <c r="N148" s="12" t="inlineStr"/>
      <c r="O148" s="12">
        <f>IF($N148="x","Korrekturlest",IF($M148="x","Ferdig",IF($L148="x","Mest ferdig",IF($J148&lt;&gt;"","Pågår","Ikke startet"))))</f>
        <v/>
      </c>
      <c r="P148" s="12" t="inlineStr">
        <is>
          <t>Ikke sendt</t>
        </is>
      </c>
      <c r="Q148" s="15">
        <f>IF($D148="","",IFERROR(VLOOKUP($O148,Lists!$A$2:$B$6,2,FALSE),0))</f>
        <v/>
      </c>
      <c r="R148" s="16">
        <f>IF($I148="","",$I148-TODAY())</f>
        <v/>
      </c>
      <c r="S148" s="12">
        <f>IF(AND($I148&lt;&gt;"",$I148&lt;TODAY(),NOT(OR($O148="Ferdig",$O148="Korrekturlest"))),"OVERDUE","")</f>
        <v/>
      </c>
      <c r="T148" s="12" t="inlineStr">
        <is>
          <t>Middels</t>
        </is>
      </c>
      <c r="U148" s="12" t="inlineStr"/>
      <c r="V148" s="12" t="inlineStr"/>
      <c r="W148" s="12" t="inlineStr"/>
      <c r="X148" s="14" t="inlineStr"/>
    </row>
    <row r="149" ht="20" customHeight="1">
      <c r="A149" s="12" t="inlineStr"/>
      <c r="B149" s="12" t="inlineStr"/>
      <c r="C149" s="12" t="inlineStr"/>
      <c r="D149" s="12" t="inlineStr"/>
      <c r="E149" s="6" t="inlineStr"/>
      <c r="F149" s="13" t="inlineStr"/>
      <c r="G149" s="13" t="inlineStr"/>
      <c r="H149" s="14" t="inlineStr"/>
      <c r="I149" s="14" t="inlineStr"/>
      <c r="J149" s="14" t="inlineStr"/>
      <c r="K149" s="14" t="inlineStr"/>
      <c r="L149" s="12" t="inlineStr"/>
      <c r="M149" s="12" t="inlineStr"/>
      <c r="N149" s="12" t="inlineStr"/>
      <c r="O149" s="12">
        <f>IF($N149="x","Korrekturlest",IF($M149="x","Ferdig",IF($L149="x","Mest ferdig",IF($J149&lt;&gt;"","Pågår","Ikke startet"))))</f>
        <v/>
      </c>
      <c r="P149" s="12" t="inlineStr">
        <is>
          <t>Ikke sendt</t>
        </is>
      </c>
      <c r="Q149" s="15">
        <f>IF($D149="","",IFERROR(VLOOKUP($O149,Lists!$A$2:$B$6,2,FALSE),0))</f>
        <v/>
      </c>
      <c r="R149" s="16">
        <f>IF($I149="","",$I149-TODAY())</f>
        <v/>
      </c>
      <c r="S149" s="12">
        <f>IF(AND($I149&lt;&gt;"",$I149&lt;TODAY(),NOT(OR($O149="Ferdig",$O149="Korrekturlest"))),"OVERDUE","")</f>
        <v/>
      </c>
      <c r="T149" s="12" t="inlineStr">
        <is>
          <t>Middels</t>
        </is>
      </c>
      <c r="U149" s="12" t="inlineStr"/>
      <c r="V149" s="12" t="inlineStr"/>
      <c r="W149" s="12" t="inlineStr"/>
      <c r="X149" s="14" t="inlineStr"/>
    </row>
    <row r="150" ht="20" customHeight="1">
      <c r="A150" s="12" t="inlineStr"/>
      <c r="B150" s="12" t="inlineStr"/>
      <c r="C150" s="12" t="inlineStr"/>
      <c r="D150" s="12" t="inlineStr"/>
      <c r="E150" s="6" t="inlineStr"/>
      <c r="F150" s="13" t="inlineStr"/>
      <c r="G150" s="13" t="inlineStr"/>
      <c r="H150" s="14" t="inlineStr"/>
      <c r="I150" s="14" t="inlineStr"/>
      <c r="J150" s="14" t="inlineStr"/>
      <c r="K150" s="14" t="inlineStr"/>
      <c r="L150" s="12" t="inlineStr"/>
      <c r="M150" s="12" t="inlineStr"/>
      <c r="N150" s="12" t="inlineStr"/>
      <c r="O150" s="12">
        <f>IF($N150="x","Korrekturlest",IF($M150="x","Ferdig",IF($L150="x","Mest ferdig",IF($J150&lt;&gt;"","Pågår","Ikke startet"))))</f>
        <v/>
      </c>
      <c r="P150" s="12" t="inlineStr">
        <is>
          <t>Ikke sendt</t>
        </is>
      </c>
      <c r="Q150" s="15">
        <f>IF($D150="","",IFERROR(VLOOKUP($O150,Lists!$A$2:$B$6,2,FALSE),0))</f>
        <v/>
      </c>
      <c r="R150" s="16">
        <f>IF($I150="","",$I150-TODAY())</f>
        <v/>
      </c>
      <c r="S150" s="12">
        <f>IF(AND($I150&lt;&gt;"",$I150&lt;TODAY(),NOT(OR($O150="Ferdig",$O150="Korrekturlest"))),"OVERDUE","")</f>
        <v/>
      </c>
      <c r="T150" s="12" t="inlineStr">
        <is>
          <t>Middels</t>
        </is>
      </c>
      <c r="U150" s="12" t="inlineStr"/>
      <c r="V150" s="12" t="inlineStr"/>
      <c r="W150" s="12" t="inlineStr"/>
      <c r="X150" s="14" t="inlineStr"/>
    </row>
    <row r="151" ht="20" customHeight="1">
      <c r="A151" s="12" t="inlineStr"/>
      <c r="B151" s="12" t="inlineStr"/>
      <c r="C151" s="12" t="inlineStr"/>
      <c r="D151" s="12" t="inlineStr"/>
      <c r="E151" s="6" t="inlineStr"/>
      <c r="F151" s="13" t="inlineStr"/>
      <c r="G151" s="13" t="inlineStr"/>
      <c r="H151" s="14" t="inlineStr"/>
      <c r="I151" s="14" t="inlineStr"/>
      <c r="J151" s="14" t="inlineStr"/>
      <c r="K151" s="14" t="inlineStr"/>
      <c r="L151" s="12" t="inlineStr"/>
      <c r="M151" s="12" t="inlineStr"/>
      <c r="N151" s="12" t="inlineStr"/>
      <c r="O151" s="12">
        <f>IF($N151="x","Korrekturlest",IF($M151="x","Ferdig",IF($L151="x","Mest ferdig",IF($J151&lt;&gt;"","Pågår","Ikke startet"))))</f>
        <v/>
      </c>
      <c r="P151" s="12" t="inlineStr">
        <is>
          <t>Ikke sendt</t>
        </is>
      </c>
      <c r="Q151" s="15">
        <f>IF($D151="","",IFERROR(VLOOKUP($O151,Lists!$A$2:$B$6,2,FALSE),0))</f>
        <v/>
      </c>
      <c r="R151" s="16">
        <f>IF($I151="","",$I151-TODAY())</f>
        <v/>
      </c>
      <c r="S151" s="12">
        <f>IF(AND($I151&lt;&gt;"",$I151&lt;TODAY(),NOT(OR($O151="Ferdig",$O151="Korrekturlest"))),"OVERDUE","")</f>
        <v/>
      </c>
      <c r="T151" s="12" t="inlineStr">
        <is>
          <t>Middels</t>
        </is>
      </c>
      <c r="U151" s="12" t="inlineStr"/>
      <c r="V151" s="12" t="inlineStr"/>
      <c r="W151" s="12" t="inlineStr"/>
      <c r="X151" s="14" t="inlineStr"/>
    </row>
    <row r="152" ht="20" customHeight="1">
      <c r="A152" s="12" t="inlineStr"/>
      <c r="B152" s="12" t="inlineStr"/>
      <c r="C152" s="12" t="inlineStr"/>
      <c r="D152" s="12" t="inlineStr"/>
      <c r="E152" s="6" t="inlineStr"/>
      <c r="F152" s="13" t="inlineStr"/>
      <c r="G152" s="13" t="inlineStr"/>
      <c r="H152" s="14" t="inlineStr"/>
      <c r="I152" s="14" t="inlineStr"/>
      <c r="J152" s="14" t="inlineStr"/>
      <c r="K152" s="14" t="inlineStr"/>
      <c r="L152" s="12" t="inlineStr"/>
      <c r="M152" s="12" t="inlineStr"/>
      <c r="N152" s="12" t="inlineStr"/>
      <c r="O152" s="12">
        <f>IF($N152="x","Korrekturlest",IF($M152="x","Ferdig",IF($L152="x","Mest ferdig",IF($J152&lt;&gt;"","Pågår","Ikke startet"))))</f>
        <v/>
      </c>
      <c r="P152" s="12" t="inlineStr">
        <is>
          <t>Ikke sendt</t>
        </is>
      </c>
      <c r="Q152" s="15">
        <f>IF($D152="","",IFERROR(VLOOKUP($O152,Lists!$A$2:$B$6,2,FALSE),0))</f>
        <v/>
      </c>
      <c r="R152" s="16">
        <f>IF($I152="","",$I152-TODAY())</f>
        <v/>
      </c>
      <c r="S152" s="12">
        <f>IF(AND($I152&lt;&gt;"",$I152&lt;TODAY(),NOT(OR($O152="Ferdig",$O152="Korrekturlest"))),"OVERDUE","")</f>
        <v/>
      </c>
      <c r="T152" s="12" t="inlineStr">
        <is>
          <t>Middels</t>
        </is>
      </c>
      <c r="U152" s="12" t="inlineStr"/>
      <c r="V152" s="12" t="inlineStr"/>
      <c r="W152" s="12" t="inlineStr"/>
      <c r="X152" s="14" t="inlineStr"/>
    </row>
    <row r="153" ht="20" customHeight="1">
      <c r="A153" s="12" t="inlineStr"/>
      <c r="B153" s="12" t="inlineStr"/>
      <c r="C153" s="12" t="inlineStr"/>
      <c r="D153" s="12" t="inlineStr"/>
      <c r="E153" s="6" t="inlineStr"/>
      <c r="F153" s="13" t="inlineStr"/>
      <c r="G153" s="13" t="inlineStr"/>
      <c r="H153" s="14" t="inlineStr"/>
      <c r="I153" s="14" t="inlineStr"/>
      <c r="J153" s="14" t="inlineStr"/>
      <c r="K153" s="14" t="inlineStr"/>
      <c r="L153" s="12" t="inlineStr"/>
      <c r="M153" s="12" t="inlineStr"/>
      <c r="N153" s="12" t="inlineStr"/>
      <c r="O153" s="12">
        <f>IF($N153="x","Korrekturlest",IF($M153="x","Ferdig",IF($L153="x","Mest ferdig",IF($J153&lt;&gt;"","Pågår","Ikke startet"))))</f>
        <v/>
      </c>
      <c r="P153" s="12" t="inlineStr">
        <is>
          <t>Ikke sendt</t>
        </is>
      </c>
      <c r="Q153" s="15">
        <f>IF($D153="","",IFERROR(VLOOKUP($O153,Lists!$A$2:$B$6,2,FALSE),0))</f>
        <v/>
      </c>
      <c r="R153" s="16">
        <f>IF($I153="","",$I153-TODAY())</f>
        <v/>
      </c>
      <c r="S153" s="12">
        <f>IF(AND($I153&lt;&gt;"",$I153&lt;TODAY(),NOT(OR($O153="Ferdig",$O153="Korrekturlest"))),"OVERDUE","")</f>
        <v/>
      </c>
      <c r="T153" s="12" t="inlineStr">
        <is>
          <t>Middels</t>
        </is>
      </c>
      <c r="U153" s="12" t="inlineStr"/>
      <c r="V153" s="12" t="inlineStr"/>
      <c r="W153" s="12" t="inlineStr"/>
      <c r="X153" s="14" t="inlineStr"/>
    </row>
    <row r="154" ht="20" customHeight="1">
      <c r="A154" s="12" t="inlineStr"/>
      <c r="B154" s="12" t="inlineStr"/>
      <c r="C154" s="12" t="inlineStr"/>
      <c r="D154" s="12" t="inlineStr"/>
      <c r="E154" s="6" t="inlineStr"/>
      <c r="F154" s="13" t="inlineStr"/>
      <c r="G154" s="13" t="inlineStr"/>
      <c r="H154" s="14" t="inlineStr"/>
      <c r="I154" s="14" t="inlineStr"/>
      <c r="J154" s="14" t="inlineStr"/>
      <c r="K154" s="14" t="inlineStr"/>
      <c r="L154" s="12" t="inlineStr"/>
      <c r="M154" s="12" t="inlineStr"/>
      <c r="N154" s="12" t="inlineStr"/>
      <c r="O154" s="12">
        <f>IF($N154="x","Korrekturlest",IF($M154="x","Ferdig",IF($L154="x","Mest ferdig",IF($J154&lt;&gt;"","Pågår","Ikke startet"))))</f>
        <v/>
      </c>
      <c r="P154" s="12" t="inlineStr">
        <is>
          <t>Ikke sendt</t>
        </is>
      </c>
      <c r="Q154" s="15">
        <f>IF($D154="","",IFERROR(VLOOKUP($O154,Lists!$A$2:$B$6,2,FALSE),0))</f>
        <v/>
      </c>
      <c r="R154" s="16">
        <f>IF($I154="","",$I154-TODAY())</f>
        <v/>
      </c>
      <c r="S154" s="12">
        <f>IF(AND($I154&lt;&gt;"",$I154&lt;TODAY(),NOT(OR($O154="Ferdig",$O154="Korrekturlest"))),"OVERDUE","")</f>
        <v/>
      </c>
      <c r="T154" s="12" t="inlineStr">
        <is>
          <t>Middels</t>
        </is>
      </c>
      <c r="U154" s="12" t="inlineStr"/>
      <c r="V154" s="12" t="inlineStr"/>
      <c r="W154" s="12" t="inlineStr"/>
      <c r="X154" s="14" t="inlineStr"/>
    </row>
    <row r="155" ht="20" customHeight="1">
      <c r="A155" s="12" t="inlineStr"/>
      <c r="B155" s="12" t="inlineStr"/>
      <c r="C155" s="12" t="inlineStr"/>
      <c r="D155" s="12" t="inlineStr"/>
      <c r="E155" s="6" t="inlineStr"/>
      <c r="F155" s="13" t="inlineStr"/>
      <c r="G155" s="13" t="inlineStr"/>
      <c r="H155" s="14" t="inlineStr"/>
      <c r="I155" s="14" t="inlineStr"/>
      <c r="J155" s="14" t="inlineStr"/>
      <c r="K155" s="14" t="inlineStr"/>
      <c r="L155" s="12" t="inlineStr"/>
      <c r="M155" s="12" t="inlineStr"/>
      <c r="N155" s="12" t="inlineStr"/>
      <c r="O155" s="12">
        <f>IF($N155="x","Korrekturlest",IF($M155="x","Ferdig",IF($L155="x","Mest ferdig",IF($J155&lt;&gt;"","Pågår","Ikke startet"))))</f>
        <v/>
      </c>
      <c r="P155" s="12" t="inlineStr">
        <is>
          <t>Ikke sendt</t>
        </is>
      </c>
      <c r="Q155" s="15">
        <f>IF($D155="","",IFERROR(VLOOKUP($O155,Lists!$A$2:$B$6,2,FALSE),0))</f>
        <v/>
      </c>
      <c r="R155" s="16">
        <f>IF($I155="","",$I155-TODAY())</f>
        <v/>
      </c>
      <c r="S155" s="12">
        <f>IF(AND($I155&lt;&gt;"",$I155&lt;TODAY(),NOT(OR($O155="Ferdig",$O155="Korrekturlest"))),"OVERDUE","")</f>
        <v/>
      </c>
      <c r="T155" s="12" t="inlineStr">
        <is>
          <t>Middels</t>
        </is>
      </c>
      <c r="U155" s="12" t="inlineStr"/>
      <c r="V155" s="12" t="inlineStr"/>
      <c r="W155" s="12" t="inlineStr"/>
      <c r="X155" s="14" t="inlineStr"/>
    </row>
    <row r="156" ht="20" customHeight="1">
      <c r="A156" s="12" t="inlineStr"/>
      <c r="B156" s="12" t="inlineStr"/>
      <c r="C156" s="12" t="inlineStr"/>
      <c r="D156" s="12" t="inlineStr"/>
      <c r="E156" s="6" t="inlineStr"/>
      <c r="F156" s="13" t="inlineStr"/>
      <c r="G156" s="13" t="inlineStr"/>
      <c r="H156" s="14" t="inlineStr"/>
      <c r="I156" s="14" t="inlineStr"/>
      <c r="J156" s="14" t="inlineStr"/>
      <c r="K156" s="14" t="inlineStr"/>
      <c r="L156" s="12" t="inlineStr"/>
      <c r="M156" s="12" t="inlineStr"/>
      <c r="N156" s="12" t="inlineStr"/>
      <c r="O156" s="12">
        <f>IF($N156="x","Korrekturlest",IF($M156="x","Ferdig",IF($L156="x","Mest ferdig",IF($J156&lt;&gt;"","Pågår","Ikke startet"))))</f>
        <v/>
      </c>
      <c r="P156" s="12" t="inlineStr">
        <is>
          <t>Ikke sendt</t>
        </is>
      </c>
      <c r="Q156" s="15">
        <f>IF($D156="","",IFERROR(VLOOKUP($O156,Lists!$A$2:$B$6,2,FALSE),0))</f>
        <v/>
      </c>
      <c r="R156" s="16">
        <f>IF($I156="","",$I156-TODAY())</f>
        <v/>
      </c>
      <c r="S156" s="12">
        <f>IF(AND($I156&lt;&gt;"",$I156&lt;TODAY(),NOT(OR($O156="Ferdig",$O156="Korrekturlest"))),"OVERDUE","")</f>
        <v/>
      </c>
      <c r="T156" s="12" t="inlineStr">
        <is>
          <t>Middels</t>
        </is>
      </c>
      <c r="U156" s="12" t="inlineStr"/>
      <c r="V156" s="12" t="inlineStr"/>
      <c r="W156" s="12" t="inlineStr"/>
      <c r="X156" s="14" t="inlineStr"/>
    </row>
    <row r="157" ht="20" customHeight="1">
      <c r="A157" s="12" t="inlineStr"/>
      <c r="B157" s="12" t="inlineStr"/>
      <c r="C157" s="12" t="inlineStr"/>
      <c r="D157" s="12" t="inlineStr"/>
      <c r="E157" s="6" t="inlineStr"/>
      <c r="F157" s="13" t="inlineStr"/>
      <c r="G157" s="13" t="inlineStr"/>
      <c r="H157" s="14" t="inlineStr"/>
      <c r="I157" s="14" t="inlineStr"/>
      <c r="J157" s="14" t="inlineStr"/>
      <c r="K157" s="14" t="inlineStr"/>
      <c r="L157" s="12" t="inlineStr"/>
      <c r="M157" s="12" t="inlineStr"/>
      <c r="N157" s="12" t="inlineStr"/>
      <c r="O157" s="12">
        <f>IF($N157="x","Korrekturlest",IF($M157="x","Ferdig",IF($L157="x","Mest ferdig",IF($J157&lt;&gt;"","Pågår","Ikke startet"))))</f>
        <v/>
      </c>
      <c r="P157" s="12" t="inlineStr">
        <is>
          <t>Ikke sendt</t>
        </is>
      </c>
      <c r="Q157" s="15">
        <f>IF($D157="","",IFERROR(VLOOKUP($O157,Lists!$A$2:$B$6,2,FALSE),0))</f>
        <v/>
      </c>
      <c r="R157" s="16">
        <f>IF($I157="","",$I157-TODAY())</f>
        <v/>
      </c>
      <c r="S157" s="12">
        <f>IF(AND($I157&lt;&gt;"",$I157&lt;TODAY(),NOT(OR($O157="Ferdig",$O157="Korrekturlest"))),"OVERDUE","")</f>
        <v/>
      </c>
      <c r="T157" s="12" t="inlineStr">
        <is>
          <t>Middels</t>
        </is>
      </c>
      <c r="U157" s="12" t="inlineStr"/>
      <c r="V157" s="12" t="inlineStr"/>
      <c r="W157" s="12" t="inlineStr"/>
      <c r="X157" s="14" t="inlineStr"/>
    </row>
    <row r="158" ht="20" customHeight="1">
      <c r="A158" s="12" t="inlineStr"/>
      <c r="B158" s="12" t="inlineStr"/>
      <c r="C158" s="12" t="inlineStr"/>
      <c r="D158" s="12" t="inlineStr"/>
      <c r="E158" s="6" t="inlineStr"/>
      <c r="F158" s="13" t="inlineStr"/>
      <c r="G158" s="13" t="inlineStr"/>
      <c r="H158" s="14" t="inlineStr"/>
      <c r="I158" s="14" t="inlineStr"/>
      <c r="J158" s="14" t="inlineStr"/>
      <c r="K158" s="14" t="inlineStr"/>
      <c r="L158" s="12" t="inlineStr"/>
      <c r="M158" s="12" t="inlineStr"/>
      <c r="N158" s="12" t="inlineStr"/>
      <c r="O158" s="12">
        <f>IF($N158="x","Korrekturlest",IF($M158="x","Ferdig",IF($L158="x","Mest ferdig",IF($J158&lt;&gt;"","Pågår","Ikke startet"))))</f>
        <v/>
      </c>
      <c r="P158" s="12" t="inlineStr">
        <is>
          <t>Ikke sendt</t>
        </is>
      </c>
      <c r="Q158" s="15">
        <f>IF($D158="","",IFERROR(VLOOKUP($O158,Lists!$A$2:$B$6,2,FALSE),0))</f>
        <v/>
      </c>
      <c r="R158" s="16">
        <f>IF($I158="","",$I158-TODAY())</f>
        <v/>
      </c>
      <c r="S158" s="12">
        <f>IF(AND($I158&lt;&gt;"",$I158&lt;TODAY(),NOT(OR($O158="Ferdig",$O158="Korrekturlest"))),"OVERDUE","")</f>
        <v/>
      </c>
      <c r="T158" s="12" t="inlineStr">
        <is>
          <t>Middels</t>
        </is>
      </c>
      <c r="U158" s="12" t="inlineStr"/>
      <c r="V158" s="12" t="inlineStr"/>
      <c r="W158" s="12" t="inlineStr"/>
      <c r="X158" s="14" t="inlineStr"/>
    </row>
    <row r="159" ht="20" customHeight="1">
      <c r="A159" s="12" t="inlineStr"/>
      <c r="B159" s="12" t="inlineStr"/>
      <c r="C159" s="12" t="inlineStr"/>
      <c r="D159" s="12" t="inlineStr"/>
      <c r="E159" s="6" t="inlineStr"/>
      <c r="F159" s="13" t="inlineStr"/>
      <c r="G159" s="13" t="inlineStr"/>
      <c r="H159" s="14" t="inlineStr"/>
      <c r="I159" s="14" t="inlineStr"/>
      <c r="J159" s="14" t="inlineStr"/>
      <c r="K159" s="14" t="inlineStr"/>
      <c r="L159" s="12" t="inlineStr"/>
      <c r="M159" s="12" t="inlineStr"/>
      <c r="N159" s="12" t="inlineStr"/>
      <c r="O159" s="12">
        <f>IF($N159="x","Korrekturlest",IF($M159="x","Ferdig",IF($L159="x","Mest ferdig",IF($J159&lt;&gt;"","Pågår","Ikke startet"))))</f>
        <v/>
      </c>
      <c r="P159" s="12" t="inlineStr">
        <is>
          <t>Ikke sendt</t>
        </is>
      </c>
      <c r="Q159" s="15">
        <f>IF($D159="","",IFERROR(VLOOKUP($O159,Lists!$A$2:$B$6,2,FALSE),0))</f>
        <v/>
      </c>
      <c r="R159" s="16">
        <f>IF($I159="","",$I159-TODAY())</f>
        <v/>
      </c>
      <c r="S159" s="12">
        <f>IF(AND($I159&lt;&gt;"",$I159&lt;TODAY(),NOT(OR($O159="Ferdig",$O159="Korrekturlest"))),"OVERDUE","")</f>
        <v/>
      </c>
      <c r="T159" s="12" t="inlineStr">
        <is>
          <t>Middels</t>
        </is>
      </c>
      <c r="U159" s="12" t="inlineStr"/>
      <c r="V159" s="12" t="inlineStr"/>
      <c r="W159" s="12" t="inlineStr"/>
      <c r="X159" s="14" t="inlineStr"/>
    </row>
    <row r="160" ht="20" customHeight="1">
      <c r="A160" s="12" t="inlineStr"/>
      <c r="B160" s="12" t="inlineStr"/>
      <c r="C160" s="12" t="inlineStr"/>
      <c r="D160" s="12" t="inlineStr"/>
      <c r="E160" s="6" t="inlineStr"/>
      <c r="F160" s="13" t="inlineStr"/>
      <c r="G160" s="13" t="inlineStr"/>
      <c r="H160" s="14" t="inlineStr"/>
      <c r="I160" s="14" t="inlineStr"/>
      <c r="J160" s="14" t="inlineStr"/>
      <c r="K160" s="14" t="inlineStr"/>
      <c r="L160" s="12" t="inlineStr"/>
      <c r="M160" s="12" t="inlineStr"/>
      <c r="N160" s="12" t="inlineStr"/>
      <c r="O160" s="12">
        <f>IF($N160="x","Korrekturlest",IF($M160="x","Ferdig",IF($L160="x","Mest ferdig",IF($J160&lt;&gt;"","Pågår","Ikke startet"))))</f>
        <v/>
      </c>
      <c r="P160" s="12" t="inlineStr">
        <is>
          <t>Ikke sendt</t>
        </is>
      </c>
      <c r="Q160" s="15">
        <f>IF($D160="","",IFERROR(VLOOKUP($O160,Lists!$A$2:$B$6,2,FALSE),0))</f>
        <v/>
      </c>
      <c r="R160" s="16">
        <f>IF($I160="","",$I160-TODAY())</f>
        <v/>
      </c>
      <c r="S160" s="12">
        <f>IF(AND($I160&lt;&gt;"",$I160&lt;TODAY(),NOT(OR($O160="Ferdig",$O160="Korrekturlest"))),"OVERDUE","")</f>
        <v/>
      </c>
      <c r="T160" s="12" t="inlineStr">
        <is>
          <t>Middels</t>
        </is>
      </c>
      <c r="U160" s="12" t="inlineStr"/>
      <c r="V160" s="12" t="inlineStr"/>
      <c r="W160" s="12" t="inlineStr"/>
      <c r="X160" s="14" t="inlineStr"/>
    </row>
    <row r="161" ht="20" customHeight="1">
      <c r="A161" s="12" t="inlineStr"/>
      <c r="B161" s="12" t="inlineStr"/>
      <c r="C161" s="12" t="inlineStr"/>
      <c r="D161" s="12" t="inlineStr"/>
      <c r="E161" s="6" t="inlineStr"/>
      <c r="F161" s="13" t="inlineStr"/>
      <c r="G161" s="13" t="inlineStr"/>
      <c r="H161" s="14" t="inlineStr"/>
      <c r="I161" s="14" t="inlineStr"/>
      <c r="J161" s="14" t="inlineStr"/>
      <c r="K161" s="14" t="inlineStr"/>
      <c r="L161" s="12" t="inlineStr"/>
      <c r="M161" s="12" t="inlineStr"/>
      <c r="N161" s="12" t="inlineStr"/>
      <c r="O161" s="12">
        <f>IF($N161="x","Korrekturlest",IF($M161="x","Ferdig",IF($L161="x","Mest ferdig",IF($J161&lt;&gt;"","Pågår","Ikke startet"))))</f>
        <v/>
      </c>
      <c r="P161" s="12" t="inlineStr">
        <is>
          <t>Ikke sendt</t>
        </is>
      </c>
      <c r="Q161" s="15">
        <f>IF($D161="","",IFERROR(VLOOKUP($O161,Lists!$A$2:$B$6,2,FALSE),0))</f>
        <v/>
      </c>
      <c r="R161" s="16">
        <f>IF($I161="","",$I161-TODAY())</f>
        <v/>
      </c>
      <c r="S161" s="12">
        <f>IF(AND($I161&lt;&gt;"",$I161&lt;TODAY(),NOT(OR($O161="Ferdig",$O161="Korrekturlest"))),"OVERDUE","")</f>
        <v/>
      </c>
      <c r="T161" s="12" t="inlineStr">
        <is>
          <t>Middels</t>
        </is>
      </c>
      <c r="U161" s="12" t="inlineStr"/>
      <c r="V161" s="12" t="inlineStr"/>
      <c r="W161" s="12" t="inlineStr"/>
      <c r="X161" s="14" t="inlineStr"/>
    </row>
    <row r="162" ht="20" customHeight="1">
      <c r="A162" s="12" t="inlineStr"/>
      <c r="B162" s="12" t="inlineStr"/>
      <c r="C162" s="12" t="inlineStr"/>
      <c r="D162" s="12" t="inlineStr"/>
      <c r="E162" s="6" t="inlineStr"/>
      <c r="F162" s="13" t="inlineStr"/>
      <c r="G162" s="13" t="inlineStr"/>
      <c r="H162" s="14" t="inlineStr"/>
      <c r="I162" s="14" t="inlineStr"/>
      <c r="J162" s="14" t="inlineStr"/>
      <c r="K162" s="14" t="inlineStr"/>
      <c r="L162" s="12" t="inlineStr"/>
      <c r="M162" s="12" t="inlineStr"/>
      <c r="N162" s="12" t="inlineStr"/>
      <c r="O162" s="12">
        <f>IF($N162="x","Korrekturlest",IF($M162="x","Ferdig",IF($L162="x","Mest ferdig",IF($J162&lt;&gt;"","Pågår","Ikke startet"))))</f>
        <v/>
      </c>
      <c r="P162" s="12" t="inlineStr">
        <is>
          <t>Ikke sendt</t>
        </is>
      </c>
      <c r="Q162" s="15">
        <f>IF($D162="","",IFERROR(VLOOKUP($O162,Lists!$A$2:$B$6,2,FALSE),0))</f>
        <v/>
      </c>
      <c r="R162" s="16">
        <f>IF($I162="","",$I162-TODAY())</f>
        <v/>
      </c>
      <c r="S162" s="12">
        <f>IF(AND($I162&lt;&gt;"",$I162&lt;TODAY(),NOT(OR($O162="Ferdig",$O162="Korrekturlest"))),"OVERDUE","")</f>
        <v/>
      </c>
      <c r="T162" s="12" t="inlineStr">
        <is>
          <t>Middels</t>
        </is>
      </c>
      <c r="U162" s="12" t="inlineStr"/>
      <c r="V162" s="12" t="inlineStr"/>
      <c r="W162" s="12" t="inlineStr"/>
      <c r="X162" s="14" t="inlineStr"/>
    </row>
    <row r="163" ht="20" customHeight="1">
      <c r="A163" s="12" t="inlineStr"/>
      <c r="B163" s="12" t="inlineStr"/>
      <c r="C163" s="12" t="inlineStr"/>
      <c r="D163" s="12" t="inlineStr"/>
      <c r="E163" s="6" t="inlineStr"/>
      <c r="F163" s="13" t="inlineStr"/>
      <c r="G163" s="13" t="inlineStr"/>
      <c r="H163" s="14" t="inlineStr"/>
      <c r="I163" s="14" t="inlineStr"/>
      <c r="J163" s="14" t="inlineStr"/>
      <c r="K163" s="14" t="inlineStr"/>
      <c r="L163" s="12" t="inlineStr"/>
      <c r="M163" s="12" t="inlineStr"/>
      <c r="N163" s="12" t="inlineStr"/>
      <c r="O163" s="12">
        <f>IF($N163="x","Korrekturlest",IF($M163="x","Ferdig",IF($L163="x","Mest ferdig",IF($J163&lt;&gt;"","Pågår","Ikke startet"))))</f>
        <v/>
      </c>
      <c r="P163" s="12" t="inlineStr">
        <is>
          <t>Ikke sendt</t>
        </is>
      </c>
      <c r="Q163" s="15">
        <f>IF($D163="","",IFERROR(VLOOKUP($O163,Lists!$A$2:$B$6,2,FALSE),0))</f>
        <v/>
      </c>
      <c r="R163" s="16">
        <f>IF($I163="","",$I163-TODAY())</f>
        <v/>
      </c>
      <c r="S163" s="12">
        <f>IF(AND($I163&lt;&gt;"",$I163&lt;TODAY(),NOT(OR($O163="Ferdig",$O163="Korrekturlest"))),"OVERDUE","")</f>
        <v/>
      </c>
      <c r="T163" s="12" t="inlineStr">
        <is>
          <t>Middels</t>
        </is>
      </c>
      <c r="U163" s="12" t="inlineStr"/>
      <c r="V163" s="12" t="inlineStr"/>
      <c r="W163" s="12" t="inlineStr"/>
      <c r="X163" s="14" t="inlineStr"/>
    </row>
    <row r="164" ht="20" customHeight="1">
      <c r="A164" s="12" t="inlineStr"/>
      <c r="B164" s="12" t="inlineStr"/>
      <c r="C164" s="12" t="inlineStr"/>
      <c r="D164" s="12" t="inlineStr"/>
      <c r="E164" s="6" t="inlineStr"/>
      <c r="F164" s="13" t="inlineStr"/>
      <c r="G164" s="13" t="inlineStr"/>
      <c r="H164" s="14" t="inlineStr"/>
      <c r="I164" s="14" t="inlineStr"/>
      <c r="J164" s="14" t="inlineStr"/>
      <c r="K164" s="14" t="inlineStr"/>
      <c r="L164" s="12" t="inlineStr"/>
      <c r="M164" s="12" t="inlineStr"/>
      <c r="N164" s="12" t="inlineStr"/>
      <c r="O164" s="12">
        <f>IF($N164="x","Korrekturlest",IF($M164="x","Ferdig",IF($L164="x","Mest ferdig",IF($J164&lt;&gt;"","Pågår","Ikke startet"))))</f>
        <v/>
      </c>
      <c r="P164" s="12" t="inlineStr">
        <is>
          <t>Ikke sendt</t>
        </is>
      </c>
      <c r="Q164" s="15">
        <f>IF($D164="","",IFERROR(VLOOKUP($O164,Lists!$A$2:$B$6,2,FALSE),0))</f>
        <v/>
      </c>
      <c r="R164" s="16">
        <f>IF($I164="","",$I164-TODAY())</f>
        <v/>
      </c>
      <c r="S164" s="12">
        <f>IF(AND($I164&lt;&gt;"",$I164&lt;TODAY(),NOT(OR($O164="Ferdig",$O164="Korrekturlest"))),"OVERDUE","")</f>
        <v/>
      </c>
      <c r="T164" s="12" t="inlineStr">
        <is>
          <t>Middels</t>
        </is>
      </c>
      <c r="U164" s="12" t="inlineStr"/>
      <c r="V164" s="12" t="inlineStr"/>
      <c r="W164" s="12" t="inlineStr"/>
      <c r="X164" s="14" t="inlineStr"/>
    </row>
    <row r="165" ht="20" customHeight="1">
      <c r="A165" s="12" t="inlineStr"/>
      <c r="B165" s="12" t="inlineStr"/>
      <c r="C165" s="12" t="inlineStr"/>
      <c r="D165" s="12" t="inlineStr"/>
      <c r="E165" s="6" t="inlineStr"/>
      <c r="F165" s="13" t="inlineStr"/>
      <c r="G165" s="13" t="inlineStr"/>
      <c r="H165" s="14" t="inlineStr"/>
      <c r="I165" s="14" t="inlineStr"/>
      <c r="J165" s="14" t="inlineStr"/>
      <c r="K165" s="14" t="inlineStr"/>
      <c r="L165" s="12" t="inlineStr"/>
      <c r="M165" s="12" t="inlineStr"/>
      <c r="N165" s="12" t="inlineStr"/>
      <c r="O165" s="12">
        <f>IF($N165="x","Korrekturlest",IF($M165="x","Ferdig",IF($L165="x","Mest ferdig",IF($J165&lt;&gt;"","Pågår","Ikke startet"))))</f>
        <v/>
      </c>
      <c r="P165" s="12" t="inlineStr">
        <is>
          <t>Ikke sendt</t>
        </is>
      </c>
      <c r="Q165" s="15">
        <f>IF($D165="","",IFERROR(VLOOKUP($O165,Lists!$A$2:$B$6,2,FALSE),0))</f>
        <v/>
      </c>
      <c r="R165" s="16">
        <f>IF($I165="","",$I165-TODAY())</f>
        <v/>
      </c>
      <c r="S165" s="12">
        <f>IF(AND($I165&lt;&gt;"",$I165&lt;TODAY(),NOT(OR($O165="Ferdig",$O165="Korrekturlest"))),"OVERDUE","")</f>
        <v/>
      </c>
      <c r="T165" s="12" t="inlineStr">
        <is>
          <t>Middels</t>
        </is>
      </c>
      <c r="U165" s="12" t="inlineStr"/>
      <c r="V165" s="12" t="inlineStr"/>
      <c r="W165" s="12" t="inlineStr"/>
      <c r="X165" s="14" t="inlineStr"/>
    </row>
    <row r="166" ht="20" customHeight="1">
      <c r="A166" s="12" t="inlineStr"/>
      <c r="B166" s="12" t="inlineStr"/>
      <c r="C166" s="12" t="inlineStr"/>
      <c r="D166" s="12" t="inlineStr"/>
      <c r="E166" s="6" t="inlineStr"/>
      <c r="F166" s="13" t="inlineStr"/>
      <c r="G166" s="13" t="inlineStr"/>
      <c r="H166" s="14" t="inlineStr"/>
      <c r="I166" s="14" t="inlineStr"/>
      <c r="J166" s="14" t="inlineStr"/>
      <c r="K166" s="14" t="inlineStr"/>
      <c r="L166" s="12" t="inlineStr"/>
      <c r="M166" s="12" t="inlineStr"/>
      <c r="N166" s="12" t="inlineStr"/>
      <c r="O166" s="12">
        <f>IF($N166="x","Korrekturlest",IF($M166="x","Ferdig",IF($L166="x","Mest ferdig",IF($J166&lt;&gt;"","Pågår","Ikke startet"))))</f>
        <v/>
      </c>
      <c r="P166" s="12" t="inlineStr">
        <is>
          <t>Ikke sendt</t>
        </is>
      </c>
      <c r="Q166" s="15">
        <f>IF($D166="","",IFERROR(VLOOKUP($O166,Lists!$A$2:$B$6,2,FALSE),0))</f>
        <v/>
      </c>
      <c r="R166" s="16">
        <f>IF($I166="","",$I166-TODAY())</f>
        <v/>
      </c>
      <c r="S166" s="12">
        <f>IF(AND($I166&lt;&gt;"",$I166&lt;TODAY(),NOT(OR($O166="Ferdig",$O166="Korrekturlest"))),"OVERDUE","")</f>
        <v/>
      </c>
      <c r="T166" s="12" t="inlineStr">
        <is>
          <t>Middels</t>
        </is>
      </c>
      <c r="U166" s="12" t="inlineStr"/>
      <c r="V166" s="12" t="inlineStr"/>
      <c r="W166" s="12" t="inlineStr"/>
      <c r="X166" s="14" t="inlineStr"/>
    </row>
    <row r="167" ht="20" customHeight="1">
      <c r="A167" s="12" t="inlineStr"/>
      <c r="B167" s="12" t="inlineStr"/>
      <c r="C167" s="12" t="inlineStr"/>
      <c r="D167" s="12" t="inlineStr"/>
      <c r="E167" s="6" t="inlineStr"/>
      <c r="F167" s="13" t="inlineStr"/>
      <c r="G167" s="13" t="inlineStr"/>
      <c r="H167" s="14" t="inlineStr"/>
      <c r="I167" s="14" t="inlineStr"/>
      <c r="J167" s="14" t="inlineStr"/>
      <c r="K167" s="14" t="inlineStr"/>
      <c r="L167" s="12" t="inlineStr"/>
      <c r="M167" s="12" t="inlineStr"/>
      <c r="N167" s="12" t="inlineStr"/>
      <c r="O167" s="12">
        <f>IF($N167="x","Korrekturlest",IF($M167="x","Ferdig",IF($L167="x","Mest ferdig",IF($J167&lt;&gt;"","Pågår","Ikke startet"))))</f>
        <v/>
      </c>
      <c r="P167" s="12" t="inlineStr">
        <is>
          <t>Ikke sendt</t>
        </is>
      </c>
      <c r="Q167" s="15">
        <f>IF($D167="","",IFERROR(VLOOKUP($O167,Lists!$A$2:$B$6,2,FALSE),0))</f>
        <v/>
      </c>
      <c r="R167" s="16">
        <f>IF($I167="","",$I167-TODAY())</f>
        <v/>
      </c>
      <c r="S167" s="12">
        <f>IF(AND($I167&lt;&gt;"",$I167&lt;TODAY(),NOT(OR($O167="Ferdig",$O167="Korrekturlest"))),"OVERDUE","")</f>
        <v/>
      </c>
      <c r="T167" s="12" t="inlineStr">
        <is>
          <t>Middels</t>
        </is>
      </c>
      <c r="U167" s="12" t="inlineStr"/>
      <c r="V167" s="12" t="inlineStr"/>
      <c r="W167" s="12" t="inlineStr"/>
      <c r="X167" s="14" t="inlineStr"/>
    </row>
    <row r="168" ht="20" customHeight="1">
      <c r="A168" s="12" t="inlineStr"/>
      <c r="B168" s="12" t="inlineStr"/>
      <c r="C168" s="12" t="inlineStr"/>
      <c r="D168" s="12" t="inlineStr"/>
      <c r="E168" s="6" t="inlineStr"/>
      <c r="F168" s="13" t="inlineStr"/>
      <c r="G168" s="13" t="inlineStr"/>
      <c r="H168" s="14" t="inlineStr"/>
      <c r="I168" s="14" t="inlineStr"/>
      <c r="J168" s="14" t="inlineStr"/>
      <c r="K168" s="14" t="inlineStr"/>
      <c r="L168" s="12" t="inlineStr"/>
      <c r="M168" s="12" t="inlineStr"/>
      <c r="N168" s="12" t="inlineStr"/>
      <c r="O168" s="12">
        <f>IF($N168="x","Korrekturlest",IF($M168="x","Ferdig",IF($L168="x","Mest ferdig",IF($J168&lt;&gt;"","Pågår","Ikke startet"))))</f>
        <v/>
      </c>
      <c r="P168" s="12" t="inlineStr">
        <is>
          <t>Ikke sendt</t>
        </is>
      </c>
      <c r="Q168" s="15">
        <f>IF($D168="","",IFERROR(VLOOKUP($O168,Lists!$A$2:$B$6,2,FALSE),0))</f>
        <v/>
      </c>
      <c r="R168" s="16">
        <f>IF($I168="","",$I168-TODAY())</f>
        <v/>
      </c>
      <c r="S168" s="12">
        <f>IF(AND($I168&lt;&gt;"",$I168&lt;TODAY(),NOT(OR($O168="Ferdig",$O168="Korrekturlest"))),"OVERDUE","")</f>
        <v/>
      </c>
      <c r="T168" s="12" t="inlineStr">
        <is>
          <t>Middels</t>
        </is>
      </c>
      <c r="U168" s="12" t="inlineStr"/>
      <c r="V168" s="12" t="inlineStr"/>
      <c r="W168" s="12" t="inlineStr"/>
      <c r="X168" s="14" t="inlineStr"/>
    </row>
    <row r="169" ht="20" customHeight="1">
      <c r="A169" s="12" t="inlineStr"/>
      <c r="B169" s="12" t="inlineStr"/>
      <c r="C169" s="12" t="inlineStr"/>
      <c r="D169" s="12" t="inlineStr"/>
      <c r="E169" s="6" t="inlineStr"/>
      <c r="F169" s="13" t="inlineStr"/>
      <c r="G169" s="13" t="inlineStr"/>
      <c r="H169" s="14" t="inlineStr"/>
      <c r="I169" s="14" t="inlineStr"/>
      <c r="J169" s="14" t="inlineStr"/>
      <c r="K169" s="14" t="inlineStr"/>
      <c r="L169" s="12" t="inlineStr"/>
      <c r="M169" s="12" t="inlineStr"/>
      <c r="N169" s="12" t="inlineStr"/>
      <c r="O169" s="12">
        <f>IF($N169="x","Korrekturlest",IF($M169="x","Ferdig",IF($L169="x","Mest ferdig",IF($J169&lt;&gt;"","Pågår","Ikke startet"))))</f>
        <v/>
      </c>
      <c r="P169" s="12" t="inlineStr">
        <is>
          <t>Ikke sendt</t>
        </is>
      </c>
      <c r="Q169" s="15">
        <f>IF($D169="","",IFERROR(VLOOKUP($O169,Lists!$A$2:$B$6,2,FALSE),0))</f>
        <v/>
      </c>
      <c r="R169" s="16">
        <f>IF($I169="","",$I169-TODAY())</f>
        <v/>
      </c>
      <c r="S169" s="12">
        <f>IF(AND($I169&lt;&gt;"",$I169&lt;TODAY(),NOT(OR($O169="Ferdig",$O169="Korrekturlest"))),"OVERDUE","")</f>
        <v/>
      </c>
      <c r="T169" s="12" t="inlineStr">
        <is>
          <t>Middels</t>
        </is>
      </c>
      <c r="U169" s="12" t="inlineStr"/>
      <c r="V169" s="12" t="inlineStr"/>
      <c r="W169" s="12" t="inlineStr"/>
      <c r="X169" s="14" t="inlineStr"/>
    </row>
    <row r="170" ht="20" customHeight="1">
      <c r="A170" s="12" t="inlineStr"/>
      <c r="B170" s="12" t="inlineStr"/>
      <c r="C170" s="12" t="inlineStr"/>
      <c r="D170" s="12" t="inlineStr"/>
      <c r="E170" s="6" t="inlineStr"/>
      <c r="F170" s="13" t="inlineStr"/>
      <c r="G170" s="13" t="inlineStr"/>
      <c r="H170" s="14" t="inlineStr"/>
      <c r="I170" s="14" t="inlineStr"/>
      <c r="J170" s="14" t="inlineStr"/>
      <c r="K170" s="14" t="inlineStr"/>
      <c r="L170" s="12" t="inlineStr"/>
      <c r="M170" s="12" t="inlineStr"/>
      <c r="N170" s="12" t="inlineStr"/>
      <c r="O170" s="12">
        <f>IF($N170="x","Korrekturlest",IF($M170="x","Ferdig",IF($L170="x","Mest ferdig",IF($J170&lt;&gt;"","Pågår","Ikke startet"))))</f>
        <v/>
      </c>
      <c r="P170" s="12" t="inlineStr">
        <is>
          <t>Ikke sendt</t>
        </is>
      </c>
      <c r="Q170" s="15">
        <f>IF($D170="","",IFERROR(VLOOKUP($O170,Lists!$A$2:$B$6,2,FALSE),0))</f>
        <v/>
      </c>
      <c r="R170" s="16">
        <f>IF($I170="","",$I170-TODAY())</f>
        <v/>
      </c>
      <c r="S170" s="12">
        <f>IF(AND($I170&lt;&gt;"",$I170&lt;TODAY(),NOT(OR($O170="Ferdig",$O170="Korrekturlest"))),"OVERDUE","")</f>
        <v/>
      </c>
      <c r="T170" s="12" t="inlineStr">
        <is>
          <t>Middels</t>
        </is>
      </c>
      <c r="U170" s="12" t="inlineStr"/>
      <c r="V170" s="12" t="inlineStr"/>
      <c r="W170" s="12" t="inlineStr"/>
      <c r="X170" s="14" t="inlineStr"/>
    </row>
    <row r="171" ht="20" customHeight="1">
      <c r="A171" s="12" t="inlineStr"/>
      <c r="B171" s="12" t="inlineStr"/>
      <c r="C171" s="12" t="inlineStr"/>
      <c r="D171" s="12" t="inlineStr"/>
      <c r="E171" s="6" t="inlineStr"/>
      <c r="F171" s="13" t="inlineStr"/>
      <c r="G171" s="13" t="inlineStr"/>
      <c r="H171" s="14" t="inlineStr"/>
      <c r="I171" s="14" t="inlineStr"/>
      <c r="J171" s="14" t="inlineStr"/>
      <c r="K171" s="14" t="inlineStr"/>
      <c r="L171" s="12" t="inlineStr"/>
      <c r="M171" s="12" t="inlineStr"/>
      <c r="N171" s="12" t="inlineStr"/>
      <c r="O171" s="12">
        <f>IF($N171="x","Korrekturlest",IF($M171="x","Ferdig",IF($L171="x","Mest ferdig",IF($J171&lt;&gt;"","Pågår","Ikke startet"))))</f>
        <v/>
      </c>
      <c r="P171" s="12" t="inlineStr">
        <is>
          <t>Ikke sendt</t>
        </is>
      </c>
      <c r="Q171" s="15">
        <f>IF($D171="","",IFERROR(VLOOKUP($O171,Lists!$A$2:$B$6,2,FALSE),0))</f>
        <v/>
      </c>
      <c r="R171" s="16">
        <f>IF($I171="","",$I171-TODAY())</f>
        <v/>
      </c>
      <c r="S171" s="12">
        <f>IF(AND($I171&lt;&gt;"",$I171&lt;TODAY(),NOT(OR($O171="Ferdig",$O171="Korrekturlest"))),"OVERDUE","")</f>
        <v/>
      </c>
      <c r="T171" s="12" t="inlineStr">
        <is>
          <t>Middels</t>
        </is>
      </c>
      <c r="U171" s="12" t="inlineStr"/>
      <c r="V171" s="12" t="inlineStr"/>
      <c r="W171" s="12" t="inlineStr"/>
      <c r="X171" s="14" t="inlineStr"/>
    </row>
    <row r="172" ht="20" customHeight="1">
      <c r="A172" s="12" t="inlineStr"/>
      <c r="B172" s="12" t="inlineStr"/>
      <c r="C172" s="12" t="inlineStr"/>
      <c r="D172" s="12" t="inlineStr"/>
      <c r="E172" s="6" t="inlineStr"/>
      <c r="F172" s="13" t="inlineStr"/>
      <c r="G172" s="13" t="inlineStr"/>
      <c r="H172" s="14" t="inlineStr"/>
      <c r="I172" s="14" t="inlineStr"/>
      <c r="J172" s="14" t="inlineStr"/>
      <c r="K172" s="14" t="inlineStr"/>
      <c r="L172" s="12" t="inlineStr"/>
      <c r="M172" s="12" t="inlineStr"/>
      <c r="N172" s="12" t="inlineStr"/>
      <c r="O172" s="12">
        <f>IF($N172="x","Korrekturlest",IF($M172="x","Ferdig",IF($L172="x","Mest ferdig",IF($J172&lt;&gt;"","Pågår","Ikke startet"))))</f>
        <v/>
      </c>
      <c r="P172" s="12" t="inlineStr">
        <is>
          <t>Ikke sendt</t>
        </is>
      </c>
      <c r="Q172" s="15">
        <f>IF($D172="","",IFERROR(VLOOKUP($O172,Lists!$A$2:$B$6,2,FALSE),0))</f>
        <v/>
      </c>
      <c r="R172" s="16">
        <f>IF($I172="","",$I172-TODAY())</f>
        <v/>
      </c>
      <c r="S172" s="12">
        <f>IF(AND($I172&lt;&gt;"",$I172&lt;TODAY(),NOT(OR($O172="Ferdig",$O172="Korrekturlest"))),"OVERDUE","")</f>
        <v/>
      </c>
      <c r="T172" s="12" t="inlineStr">
        <is>
          <t>Middels</t>
        </is>
      </c>
      <c r="U172" s="12" t="inlineStr"/>
      <c r="V172" s="12" t="inlineStr"/>
      <c r="W172" s="12" t="inlineStr"/>
      <c r="X172" s="14" t="inlineStr"/>
    </row>
    <row r="173" ht="20" customHeight="1">
      <c r="A173" s="12" t="inlineStr"/>
      <c r="B173" s="12" t="inlineStr"/>
      <c r="C173" s="12" t="inlineStr"/>
      <c r="D173" s="12" t="inlineStr"/>
      <c r="E173" s="6" t="inlineStr"/>
      <c r="F173" s="13" t="inlineStr"/>
      <c r="G173" s="13" t="inlineStr"/>
      <c r="H173" s="14" t="inlineStr"/>
      <c r="I173" s="14" t="inlineStr"/>
      <c r="J173" s="14" t="inlineStr"/>
      <c r="K173" s="14" t="inlineStr"/>
      <c r="L173" s="12" t="inlineStr"/>
      <c r="M173" s="12" t="inlineStr"/>
      <c r="N173" s="12" t="inlineStr"/>
      <c r="O173" s="12">
        <f>IF($N173="x","Korrekturlest",IF($M173="x","Ferdig",IF($L173="x","Mest ferdig",IF($J173&lt;&gt;"","Pågår","Ikke startet"))))</f>
        <v/>
      </c>
      <c r="P173" s="12" t="inlineStr">
        <is>
          <t>Ikke sendt</t>
        </is>
      </c>
      <c r="Q173" s="15">
        <f>IF($D173="","",IFERROR(VLOOKUP($O173,Lists!$A$2:$B$6,2,FALSE),0))</f>
        <v/>
      </c>
      <c r="R173" s="16">
        <f>IF($I173="","",$I173-TODAY())</f>
        <v/>
      </c>
      <c r="S173" s="12">
        <f>IF(AND($I173&lt;&gt;"",$I173&lt;TODAY(),NOT(OR($O173="Ferdig",$O173="Korrekturlest"))),"OVERDUE","")</f>
        <v/>
      </c>
      <c r="T173" s="12" t="inlineStr">
        <is>
          <t>Middels</t>
        </is>
      </c>
      <c r="U173" s="12" t="inlineStr"/>
      <c r="V173" s="12" t="inlineStr"/>
      <c r="W173" s="12" t="inlineStr"/>
      <c r="X173" s="14" t="inlineStr"/>
    </row>
    <row r="174" ht="20" customHeight="1">
      <c r="A174" s="12" t="inlineStr"/>
      <c r="B174" s="12" t="inlineStr"/>
      <c r="C174" s="12" t="inlineStr"/>
      <c r="D174" s="12" t="inlineStr"/>
      <c r="E174" s="6" t="inlineStr"/>
      <c r="F174" s="13" t="inlineStr"/>
      <c r="G174" s="13" t="inlineStr"/>
      <c r="H174" s="14" t="inlineStr"/>
      <c r="I174" s="14" t="inlineStr"/>
      <c r="J174" s="14" t="inlineStr"/>
      <c r="K174" s="14" t="inlineStr"/>
      <c r="L174" s="12" t="inlineStr"/>
      <c r="M174" s="12" t="inlineStr"/>
      <c r="N174" s="12" t="inlineStr"/>
      <c r="O174" s="12">
        <f>IF($N174="x","Korrekturlest",IF($M174="x","Ferdig",IF($L174="x","Mest ferdig",IF($J174&lt;&gt;"","Pågår","Ikke startet"))))</f>
        <v/>
      </c>
      <c r="P174" s="12" t="inlineStr">
        <is>
          <t>Ikke sendt</t>
        </is>
      </c>
      <c r="Q174" s="15">
        <f>IF($D174="","",IFERROR(VLOOKUP($O174,Lists!$A$2:$B$6,2,FALSE),0))</f>
        <v/>
      </c>
      <c r="R174" s="16">
        <f>IF($I174="","",$I174-TODAY())</f>
        <v/>
      </c>
      <c r="S174" s="12">
        <f>IF(AND($I174&lt;&gt;"",$I174&lt;TODAY(),NOT(OR($O174="Ferdig",$O174="Korrekturlest"))),"OVERDUE","")</f>
        <v/>
      </c>
      <c r="T174" s="12" t="inlineStr">
        <is>
          <t>Middels</t>
        </is>
      </c>
      <c r="U174" s="12" t="inlineStr"/>
      <c r="V174" s="12" t="inlineStr"/>
      <c r="W174" s="12" t="inlineStr"/>
      <c r="X174" s="14" t="inlineStr"/>
    </row>
    <row r="175" ht="20" customHeight="1">
      <c r="A175" s="12" t="inlineStr"/>
      <c r="B175" s="12" t="inlineStr"/>
      <c r="C175" s="12" t="inlineStr"/>
      <c r="D175" s="12" t="inlineStr"/>
      <c r="E175" s="6" t="inlineStr"/>
      <c r="F175" s="13" t="inlineStr"/>
      <c r="G175" s="13" t="inlineStr"/>
      <c r="H175" s="14" t="inlineStr"/>
      <c r="I175" s="14" t="inlineStr"/>
      <c r="J175" s="14" t="inlineStr"/>
      <c r="K175" s="14" t="inlineStr"/>
      <c r="L175" s="12" t="inlineStr"/>
      <c r="M175" s="12" t="inlineStr"/>
      <c r="N175" s="12" t="inlineStr"/>
      <c r="O175" s="12">
        <f>IF($N175="x","Korrekturlest",IF($M175="x","Ferdig",IF($L175="x","Mest ferdig",IF($J175&lt;&gt;"","Pågår","Ikke startet"))))</f>
        <v/>
      </c>
      <c r="P175" s="12" t="inlineStr">
        <is>
          <t>Ikke sendt</t>
        </is>
      </c>
      <c r="Q175" s="15">
        <f>IF($D175="","",IFERROR(VLOOKUP($O175,Lists!$A$2:$B$6,2,FALSE),0))</f>
        <v/>
      </c>
      <c r="R175" s="16">
        <f>IF($I175="","",$I175-TODAY())</f>
        <v/>
      </c>
      <c r="S175" s="12">
        <f>IF(AND($I175&lt;&gt;"",$I175&lt;TODAY(),NOT(OR($O175="Ferdig",$O175="Korrekturlest"))),"OVERDUE","")</f>
        <v/>
      </c>
      <c r="T175" s="12" t="inlineStr">
        <is>
          <t>Middels</t>
        </is>
      </c>
      <c r="U175" s="12" t="inlineStr"/>
      <c r="V175" s="12" t="inlineStr"/>
      <c r="W175" s="12" t="inlineStr"/>
      <c r="X175" s="14" t="inlineStr"/>
    </row>
    <row r="176" ht="20" customHeight="1">
      <c r="A176" s="12" t="inlineStr"/>
      <c r="B176" s="12" t="inlineStr"/>
      <c r="C176" s="12" t="inlineStr"/>
      <c r="D176" s="12" t="inlineStr"/>
      <c r="E176" s="6" t="inlineStr"/>
      <c r="F176" s="13" t="inlineStr"/>
      <c r="G176" s="13" t="inlineStr"/>
      <c r="H176" s="14" t="inlineStr"/>
      <c r="I176" s="14" t="inlineStr"/>
      <c r="J176" s="14" t="inlineStr"/>
      <c r="K176" s="14" t="inlineStr"/>
      <c r="L176" s="12" t="inlineStr"/>
      <c r="M176" s="12" t="inlineStr"/>
      <c r="N176" s="12" t="inlineStr"/>
      <c r="O176" s="12">
        <f>IF($N176="x","Korrekturlest",IF($M176="x","Ferdig",IF($L176="x","Mest ferdig",IF($J176&lt;&gt;"","Pågår","Ikke startet"))))</f>
        <v/>
      </c>
      <c r="P176" s="12" t="inlineStr">
        <is>
          <t>Ikke sendt</t>
        </is>
      </c>
      <c r="Q176" s="15">
        <f>IF($D176="","",IFERROR(VLOOKUP($O176,Lists!$A$2:$B$6,2,FALSE),0))</f>
        <v/>
      </c>
      <c r="R176" s="16">
        <f>IF($I176="","",$I176-TODAY())</f>
        <v/>
      </c>
      <c r="S176" s="12">
        <f>IF(AND($I176&lt;&gt;"",$I176&lt;TODAY(),NOT(OR($O176="Ferdig",$O176="Korrekturlest"))),"OVERDUE","")</f>
        <v/>
      </c>
      <c r="T176" s="12" t="inlineStr">
        <is>
          <t>Middels</t>
        </is>
      </c>
      <c r="U176" s="12" t="inlineStr"/>
      <c r="V176" s="12" t="inlineStr"/>
      <c r="W176" s="12" t="inlineStr"/>
      <c r="X176" s="14" t="inlineStr"/>
    </row>
    <row r="177" ht="20" customHeight="1">
      <c r="A177" s="12" t="inlineStr"/>
      <c r="B177" s="12" t="inlineStr"/>
      <c r="C177" s="12" t="inlineStr"/>
      <c r="D177" s="12" t="inlineStr"/>
      <c r="E177" s="6" t="inlineStr"/>
      <c r="F177" s="13" t="inlineStr"/>
      <c r="G177" s="13" t="inlineStr"/>
      <c r="H177" s="14" t="inlineStr"/>
      <c r="I177" s="14" t="inlineStr"/>
      <c r="J177" s="14" t="inlineStr"/>
      <c r="K177" s="14" t="inlineStr"/>
      <c r="L177" s="12" t="inlineStr"/>
      <c r="M177" s="12" t="inlineStr"/>
      <c r="N177" s="12" t="inlineStr"/>
      <c r="O177" s="12">
        <f>IF($N177="x","Korrekturlest",IF($M177="x","Ferdig",IF($L177="x","Mest ferdig",IF($J177&lt;&gt;"","Pågår","Ikke startet"))))</f>
        <v/>
      </c>
      <c r="P177" s="12" t="inlineStr">
        <is>
          <t>Ikke sendt</t>
        </is>
      </c>
      <c r="Q177" s="15">
        <f>IF($D177="","",IFERROR(VLOOKUP($O177,Lists!$A$2:$B$6,2,FALSE),0))</f>
        <v/>
      </c>
      <c r="R177" s="16">
        <f>IF($I177="","",$I177-TODAY())</f>
        <v/>
      </c>
      <c r="S177" s="12">
        <f>IF(AND($I177&lt;&gt;"",$I177&lt;TODAY(),NOT(OR($O177="Ferdig",$O177="Korrekturlest"))),"OVERDUE","")</f>
        <v/>
      </c>
      <c r="T177" s="12" t="inlineStr">
        <is>
          <t>Middels</t>
        </is>
      </c>
      <c r="U177" s="12" t="inlineStr"/>
      <c r="V177" s="12" t="inlineStr"/>
      <c r="W177" s="12" t="inlineStr"/>
      <c r="X177" s="14" t="inlineStr"/>
    </row>
    <row r="178" ht="20" customHeight="1">
      <c r="A178" s="12" t="inlineStr"/>
      <c r="B178" s="12" t="inlineStr"/>
      <c r="C178" s="12" t="inlineStr"/>
      <c r="D178" s="12" t="inlineStr"/>
      <c r="E178" s="6" t="inlineStr"/>
      <c r="F178" s="13" t="inlineStr"/>
      <c r="G178" s="13" t="inlineStr"/>
      <c r="H178" s="14" t="inlineStr"/>
      <c r="I178" s="14" t="inlineStr"/>
      <c r="J178" s="14" t="inlineStr"/>
      <c r="K178" s="14" t="inlineStr"/>
      <c r="L178" s="12" t="inlineStr"/>
      <c r="M178" s="12" t="inlineStr"/>
      <c r="N178" s="12" t="inlineStr"/>
      <c r="O178" s="12">
        <f>IF($N178="x","Korrekturlest",IF($M178="x","Ferdig",IF($L178="x","Mest ferdig",IF($J178&lt;&gt;"","Pågår","Ikke startet"))))</f>
        <v/>
      </c>
      <c r="P178" s="12" t="inlineStr">
        <is>
          <t>Ikke sendt</t>
        </is>
      </c>
      <c r="Q178" s="15">
        <f>IF($D178="","",IFERROR(VLOOKUP($O178,Lists!$A$2:$B$6,2,FALSE),0))</f>
        <v/>
      </c>
      <c r="R178" s="16">
        <f>IF($I178="","",$I178-TODAY())</f>
        <v/>
      </c>
      <c r="S178" s="12">
        <f>IF(AND($I178&lt;&gt;"",$I178&lt;TODAY(),NOT(OR($O178="Ferdig",$O178="Korrekturlest"))),"OVERDUE","")</f>
        <v/>
      </c>
      <c r="T178" s="12" t="inlineStr">
        <is>
          <t>Middels</t>
        </is>
      </c>
      <c r="U178" s="12" t="inlineStr"/>
      <c r="V178" s="12" t="inlineStr"/>
      <c r="W178" s="12" t="inlineStr"/>
      <c r="X178" s="14" t="inlineStr"/>
    </row>
    <row r="179" ht="20" customHeight="1">
      <c r="A179" s="12" t="inlineStr"/>
      <c r="B179" s="12" t="inlineStr"/>
      <c r="C179" s="12" t="inlineStr"/>
      <c r="D179" s="12" t="inlineStr"/>
      <c r="E179" s="6" t="inlineStr"/>
      <c r="F179" s="13" t="inlineStr"/>
      <c r="G179" s="13" t="inlineStr"/>
      <c r="H179" s="14" t="inlineStr"/>
      <c r="I179" s="14" t="inlineStr"/>
      <c r="J179" s="14" t="inlineStr"/>
      <c r="K179" s="14" t="inlineStr"/>
      <c r="L179" s="12" t="inlineStr"/>
      <c r="M179" s="12" t="inlineStr"/>
      <c r="N179" s="12" t="inlineStr"/>
      <c r="O179" s="12">
        <f>IF($N179="x","Korrekturlest",IF($M179="x","Ferdig",IF($L179="x","Mest ferdig",IF($J179&lt;&gt;"","Pågår","Ikke startet"))))</f>
        <v/>
      </c>
      <c r="P179" s="12" t="inlineStr">
        <is>
          <t>Ikke sendt</t>
        </is>
      </c>
      <c r="Q179" s="15">
        <f>IF($D179="","",IFERROR(VLOOKUP($O179,Lists!$A$2:$B$6,2,FALSE),0))</f>
        <v/>
      </c>
      <c r="R179" s="16">
        <f>IF($I179="","",$I179-TODAY())</f>
        <v/>
      </c>
      <c r="S179" s="12">
        <f>IF(AND($I179&lt;&gt;"",$I179&lt;TODAY(),NOT(OR($O179="Ferdig",$O179="Korrekturlest"))),"OVERDUE","")</f>
        <v/>
      </c>
      <c r="T179" s="12" t="inlineStr">
        <is>
          <t>Middels</t>
        </is>
      </c>
      <c r="U179" s="12" t="inlineStr"/>
      <c r="V179" s="12" t="inlineStr"/>
      <c r="W179" s="12" t="inlineStr"/>
      <c r="X179" s="14" t="inlineStr"/>
    </row>
    <row r="180" ht="20" customHeight="1">
      <c r="A180" s="12" t="inlineStr"/>
      <c r="B180" s="12" t="inlineStr"/>
      <c r="C180" s="12" t="inlineStr"/>
      <c r="D180" s="12" t="inlineStr"/>
      <c r="E180" s="6" t="inlineStr"/>
      <c r="F180" s="13" t="inlineStr"/>
      <c r="G180" s="13" t="inlineStr"/>
      <c r="H180" s="14" t="inlineStr"/>
      <c r="I180" s="14" t="inlineStr"/>
      <c r="J180" s="14" t="inlineStr"/>
      <c r="K180" s="14" t="inlineStr"/>
      <c r="L180" s="12" t="inlineStr"/>
      <c r="M180" s="12" t="inlineStr"/>
      <c r="N180" s="12" t="inlineStr"/>
      <c r="O180" s="12">
        <f>IF($N180="x","Korrekturlest",IF($M180="x","Ferdig",IF($L180="x","Mest ferdig",IF($J180&lt;&gt;"","Pågår","Ikke startet"))))</f>
        <v/>
      </c>
      <c r="P180" s="12" t="inlineStr">
        <is>
          <t>Ikke sendt</t>
        </is>
      </c>
      <c r="Q180" s="15">
        <f>IF($D180="","",IFERROR(VLOOKUP($O180,Lists!$A$2:$B$6,2,FALSE),0))</f>
        <v/>
      </c>
      <c r="R180" s="16">
        <f>IF($I180="","",$I180-TODAY())</f>
        <v/>
      </c>
      <c r="S180" s="12">
        <f>IF(AND($I180&lt;&gt;"",$I180&lt;TODAY(),NOT(OR($O180="Ferdig",$O180="Korrekturlest"))),"OVERDUE","")</f>
        <v/>
      </c>
      <c r="T180" s="12" t="inlineStr">
        <is>
          <t>Middels</t>
        </is>
      </c>
      <c r="U180" s="12" t="inlineStr"/>
      <c r="V180" s="12" t="inlineStr"/>
      <c r="W180" s="12" t="inlineStr"/>
      <c r="X180" s="14" t="inlineStr"/>
    </row>
    <row r="181" ht="20" customHeight="1">
      <c r="A181" s="12" t="inlineStr"/>
      <c r="B181" s="12" t="inlineStr"/>
      <c r="C181" s="12" t="inlineStr"/>
      <c r="D181" s="12" t="inlineStr"/>
      <c r="E181" s="6" t="inlineStr"/>
      <c r="F181" s="13" t="inlineStr"/>
      <c r="G181" s="13" t="inlineStr"/>
      <c r="H181" s="14" t="inlineStr"/>
      <c r="I181" s="14" t="inlineStr"/>
      <c r="J181" s="14" t="inlineStr"/>
      <c r="K181" s="14" t="inlineStr"/>
      <c r="L181" s="12" t="inlineStr"/>
      <c r="M181" s="12" t="inlineStr"/>
      <c r="N181" s="12" t="inlineStr"/>
      <c r="O181" s="12">
        <f>IF($N181="x","Korrekturlest",IF($M181="x","Ferdig",IF($L181="x","Mest ferdig",IF($J181&lt;&gt;"","Pågår","Ikke startet"))))</f>
        <v/>
      </c>
      <c r="P181" s="12" t="inlineStr">
        <is>
          <t>Ikke sendt</t>
        </is>
      </c>
      <c r="Q181" s="15">
        <f>IF($D181="","",IFERROR(VLOOKUP($O181,Lists!$A$2:$B$6,2,FALSE),0))</f>
        <v/>
      </c>
      <c r="R181" s="16">
        <f>IF($I181="","",$I181-TODAY())</f>
        <v/>
      </c>
      <c r="S181" s="12">
        <f>IF(AND($I181&lt;&gt;"",$I181&lt;TODAY(),NOT(OR($O181="Ferdig",$O181="Korrekturlest"))),"OVERDUE","")</f>
        <v/>
      </c>
      <c r="T181" s="12" t="inlineStr">
        <is>
          <t>Middels</t>
        </is>
      </c>
      <c r="U181" s="12" t="inlineStr"/>
      <c r="V181" s="12" t="inlineStr"/>
      <c r="W181" s="12" t="inlineStr"/>
      <c r="X181" s="14" t="inlineStr"/>
    </row>
    <row r="182" ht="20" customHeight="1">
      <c r="A182" s="12" t="inlineStr"/>
      <c r="B182" s="12" t="inlineStr"/>
      <c r="C182" s="12" t="inlineStr"/>
      <c r="D182" s="12" t="inlineStr"/>
      <c r="E182" s="6" t="inlineStr"/>
      <c r="F182" s="13" t="inlineStr"/>
      <c r="G182" s="13" t="inlineStr"/>
      <c r="H182" s="14" t="inlineStr"/>
      <c r="I182" s="14" t="inlineStr"/>
      <c r="J182" s="14" t="inlineStr"/>
      <c r="K182" s="14" t="inlineStr"/>
      <c r="L182" s="12" t="inlineStr"/>
      <c r="M182" s="12" t="inlineStr"/>
      <c r="N182" s="12" t="inlineStr"/>
      <c r="O182" s="12">
        <f>IF($N182="x","Korrekturlest",IF($M182="x","Ferdig",IF($L182="x","Mest ferdig",IF($J182&lt;&gt;"","Pågår","Ikke startet"))))</f>
        <v/>
      </c>
      <c r="P182" s="12" t="inlineStr">
        <is>
          <t>Ikke sendt</t>
        </is>
      </c>
      <c r="Q182" s="15">
        <f>IF($D182="","",IFERROR(VLOOKUP($O182,Lists!$A$2:$B$6,2,FALSE),0))</f>
        <v/>
      </c>
      <c r="R182" s="16">
        <f>IF($I182="","",$I182-TODAY())</f>
        <v/>
      </c>
      <c r="S182" s="12">
        <f>IF(AND($I182&lt;&gt;"",$I182&lt;TODAY(),NOT(OR($O182="Ferdig",$O182="Korrekturlest"))),"OVERDUE","")</f>
        <v/>
      </c>
      <c r="T182" s="12" t="inlineStr">
        <is>
          <t>Middels</t>
        </is>
      </c>
      <c r="U182" s="12" t="inlineStr"/>
      <c r="V182" s="12" t="inlineStr"/>
      <c r="W182" s="12" t="inlineStr"/>
      <c r="X182" s="14" t="inlineStr"/>
    </row>
    <row r="183" ht="20" customHeight="1">
      <c r="A183" s="12" t="inlineStr"/>
      <c r="B183" s="12" t="inlineStr"/>
      <c r="C183" s="12" t="inlineStr"/>
      <c r="D183" s="12" t="inlineStr"/>
      <c r="E183" s="6" t="inlineStr"/>
      <c r="F183" s="13" t="inlineStr"/>
      <c r="G183" s="13" t="inlineStr"/>
      <c r="H183" s="14" t="inlineStr"/>
      <c r="I183" s="14" t="inlineStr"/>
      <c r="J183" s="14" t="inlineStr"/>
      <c r="K183" s="14" t="inlineStr"/>
      <c r="L183" s="12" t="inlineStr"/>
      <c r="M183" s="12" t="inlineStr"/>
      <c r="N183" s="12" t="inlineStr"/>
      <c r="O183" s="12">
        <f>IF($N183="x","Korrekturlest",IF($M183="x","Ferdig",IF($L183="x","Mest ferdig",IF($J183&lt;&gt;"","Pågår","Ikke startet"))))</f>
        <v/>
      </c>
      <c r="P183" s="12" t="inlineStr">
        <is>
          <t>Ikke sendt</t>
        </is>
      </c>
      <c r="Q183" s="15">
        <f>IF($D183="","",IFERROR(VLOOKUP($O183,Lists!$A$2:$B$6,2,FALSE),0))</f>
        <v/>
      </c>
      <c r="R183" s="16">
        <f>IF($I183="","",$I183-TODAY())</f>
        <v/>
      </c>
      <c r="S183" s="12">
        <f>IF(AND($I183&lt;&gt;"",$I183&lt;TODAY(),NOT(OR($O183="Ferdig",$O183="Korrekturlest"))),"OVERDUE","")</f>
        <v/>
      </c>
      <c r="T183" s="12" t="inlineStr">
        <is>
          <t>Middels</t>
        </is>
      </c>
      <c r="U183" s="12" t="inlineStr"/>
      <c r="V183" s="12" t="inlineStr"/>
      <c r="W183" s="12" t="inlineStr"/>
      <c r="X183" s="14" t="inlineStr"/>
    </row>
    <row r="184" ht="20" customHeight="1">
      <c r="A184" s="12" t="inlineStr"/>
      <c r="B184" s="12" t="inlineStr"/>
      <c r="C184" s="12" t="inlineStr"/>
      <c r="D184" s="12" t="inlineStr"/>
      <c r="E184" s="6" t="inlineStr"/>
      <c r="F184" s="13" t="inlineStr"/>
      <c r="G184" s="13" t="inlineStr"/>
      <c r="H184" s="14" t="inlineStr"/>
      <c r="I184" s="14" t="inlineStr"/>
      <c r="J184" s="14" t="inlineStr"/>
      <c r="K184" s="14" t="inlineStr"/>
      <c r="L184" s="12" t="inlineStr"/>
      <c r="M184" s="12" t="inlineStr"/>
      <c r="N184" s="12" t="inlineStr"/>
      <c r="O184" s="12">
        <f>IF($N184="x","Korrekturlest",IF($M184="x","Ferdig",IF($L184="x","Mest ferdig",IF($J184&lt;&gt;"","Pågår","Ikke startet"))))</f>
        <v/>
      </c>
      <c r="P184" s="12" t="inlineStr">
        <is>
          <t>Ikke sendt</t>
        </is>
      </c>
      <c r="Q184" s="15">
        <f>IF($D184="","",IFERROR(VLOOKUP($O184,Lists!$A$2:$B$6,2,FALSE),0))</f>
        <v/>
      </c>
      <c r="R184" s="16">
        <f>IF($I184="","",$I184-TODAY())</f>
        <v/>
      </c>
      <c r="S184" s="12">
        <f>IF(AND($I184&lt;&gt;"",$I184&lt;TODAY(),NOT(OR($O184="Ferdig",$O184="Korrekturlest"))),"OVERDUE","")</f>
        <v/>
      </c>
      <c r="T184" s="12" t="inlineStr">
        <is>
          <t>Middels</t>
        </is>
      </c>
      <c r="U184" s="12" t="inlineStr"/>
      <c r="V184" s="12" t="inlineStr"/>
      <c r="W184" s="12" t="inlineStr"/>
      <c r="X184" s="14" t="inlineStr"/>
    </row>
    <row r="185" ht="20" customHeight="1">
      <c r="A185" s="12" t="inlineStr"/>
      <c r="B185" s="12" t="inlineStr"/>
      <c r="C185" s="12" t="inlineStr"/>
      <c r="D185" s="12" t="inlineStr"/>
      <c r="E185" s="6" t="inlineStr"/>
      <c r="F185" s="13" t="inlineStr"/>
      <c r="G185" s="13" t="inlineStr"/>
      <c r="H185" s="14" t="inlineStr"/>
      <c r="I185" s="14" t="inlineStr"/>
      <c r="J185" s="14" t="inlineStr"/>
      <c r="K185" s="14" t="inlineStr"/>
      <c r="L185" s="12" t="inlineStr"/>
      <c r="M185" s="12" t="inlineStr"/>
      <c r="N185" s="12" t="inlineStr"/>
      <c r="O185" s="12">
        <f>IF($N185="x","Korrekturlest",IF($M185="x","Ferdig",IF($L185="x","Mest ferdig",IF($J185&lt;&gt;"","Pågår","Ikke startet"))))</f>
        <v/>
      </c>
      <c r="P185" s="12" t="inlineStr">
        <is>
          <t>Ikke sendt</t>
        </is>
      </c>
      <c r="Q185" s="15">
        <f>IF($D185="","",IFERROR(VLOOKUP($O185,Lists!$A$2:$B$6,2,FALSE),0))</f>
        <v/>
      </c>
      <c r="R185" s="16">
        <f>IF($I185="","",$I185-TODAY())</f>
        <v/>
      </c>
      <c r="S185" s="12">
        <f>IF(AND($I185&lt;&gt;"",$I185&lt;TODAY(),NOT(OR($O185="Ferdig",$O185="Korrekturlest"))),"OVERDUE","")</f>
        <v/>
      </c>
      <c r="T185" s="12" t="inlineStr">
        <is>
          <t>Middels</t>
        </is>
      </c>
      <c r="U185" s="12" t="inlineStr"/>
      <c r="V185" s="12" t="inlineStr"/>
      <c r="W185" s="12" t="inlineStr"/>
      <c r="X185" s="14" t="inlineStr"/>
    </row>
    <row r="186" ht="20" customHeight="1">
      <c r="A186" s="12" t="inlineStr"/>
      <c r="B186" s="12" t="inlineStr"/>
      <c r="C186" s="12" t="inlineStr"/>
      <c r="D186" s="12" t="inlineStr"/>
      <c r="E186" s="6" t="inlineStr"/>
      <c r="F186" s="13" t="inlineStr"/>
      <c r="G186" s="13" t="inlineStr"/>
      <c r="H186" s="14" t="inlineStr"/>
      <c r="I186" s="14" t="inlineStr"/>
      <c r="J186" s="14" t="inlineStr"/>
      <c r="K186" s="14" t="inlineStr"/>
      <c r="L186" s="12" t="inlineStr"/>
      <c r="M186" s="12" t="inlineStr"/>
      <c r="N186" s="12" t="inlineStr"/>
      <c r="O186" s="12">
        <f>IF($N186="x","Korrekturlest",IF($M186="x","Ferdig",IF($L186="x","Mest ferdig",IF($J186&lt;&gt;"","Pågår","Ikke startet"))))</f>
        <v/>
      </c>
      <c r="P186" s="12" t="inlineStr">
        <is>
          <t>Ikke sendt</t>
        </is>
      </c>
      <c r="Q186" s="15">
        <f>IF($D186="","",IFERROR(VLOOKUP($O186,Lists!$A$2:$B$6,2,FALSE),0))</f>
        <v/>
      </c>
      <c r="R186" s="16">
        <f>IF($I186="","",$I186-TODAY())</f>
        <v/>
      </c>
      <c r="S186" s="12">
        <f>IF(AND($I186&lt;&gt;"",$I186&lt;TODAY(),NOT(OR($O186="Ferdig",$O186="Korrekturlest"))),"OVERDUE","")</f>
        <v/>
      </c>
      <c r="T186" s="12" t="inlineStr">
        <is>
          <t>Middels</t>
        </is>
      </c>
      <c r="U186" s="12" t="inlineStr"/>
      <c r="V186" s="12" t="inlineStr"/>
      <c r="W186" s="12" t="inlineStr"/>
      <c r="X186" s="14" t="inlineStr"/>
    </row>
    <row r="187" ht="20" customHeight="1">
      <c r="A187" s="12" t="inlineStr"/>
      <c r="B187" s="12" t="inlineStr"/>
      <c r="C187" s="12" t="inlineStr"/>
      <c r="D187" s="12" t="inlineStr"/>
      <c r="E187" s="6" t="inlineStr"/>
      <c r="F187" s="13" t="inlineStr"/>
      <c r="G187" s="13" t="inlineStr"/>
      <c r="H187" s="14" t="inlineStr"/>
      <c r="I187" s="14" t="inlineStr"/>
      <c r="J187" s="14" t="inlineStr"/>
      <c r="K187" s="14" t="inlineStr"/>
      <c r="L187" s="12" t="inlineStr"/>
      <c r="M187" s="12" t="inlineStr"/>
      <c r="N187" s="12" t="inlineStr"/>
      <c r="O187" s="12">
        <f>IF($N187="x","Korrekturlest",IF($M187="x","Ferdig",IF($L187="x","Mest ferdig",IF($J187&lt;&gt;"","Pågår","Ikke startet"))))</f>
        <v/>
      </c>
      <c r="P187" s="12" t="inlineStr">
        <is>
          <t>Ikke sendt</t>
        </is>
      </c>
      <c r="Q187" s="15">
        <f>IF($D187="","",IFERROR(VLOOKUP($O187,Lists!$A$2:$B$6,2,FALSE),0))</f>
        <v/>
      </c>
      <c r="R187" s="16">
        <f>IF($I187="","",$I187-TODAY())</f>
        <v/>
      </c>
      <c r="S187" s="12">
        <f>IF(AND($I187&lt;&gt;"",$I187&lt;TODAY(),NOT(OR($O187="Ferdig",$O187="Korrekturlest"))),"OVERDUE","")</f>
        <v/>
      </c>
      <c r="T187" s="12" t="inlineStr">
        <is>
          <t>Middels</t>
        </is>
      </c>
      <c r="U187" s="12" t="inlineStr"/>
      <c r="V187" s="12" t="inlineStr"/>
      <c r="W187" s="12" t="inlineStr"/>
      <c r="X187" s="14" t="inlineStr"/>
    </row>
    <row r="188" ht="20" customHeight="1">
      <c r="A188" s="12" t="inlineStr"/>
      <c r="B188" s="12" t="inlineStr"/>
      <c r="C188" s="12" t="inlineStr"/>
      <c r="D188" s="12" t="inlineStr"/>
      <c r="E188" s="6" t="inlineStr"/>
      <c r="F188" s="13" t="inlineStr"/>
      <c r="G188" s="13" t="inlineStr"/>
      <c r="H188" s="14" t="inlineStr"/>
      <c r="I188" s="14" t="inlineStr"/>
      <c r="J188" s="14" t="inlineStr"/>
      <c r="K188" s="14" t="inlineStr"/>
      <c r="L188" s="12" t="inlineStr"/>
      <c r="M188" s="12" t="inlineStr"/>
      <c r="N188" s="12" t="inlineStr"/>
      <c r="O188" s="12">
        <f>IF($N188="x","Korrekturlest",IF($M188="x","Ferdig",IF($L188="x","Mest ferdig",IF($J188&lt;&gt;"","Pågår","Ikke startet"))))</f>
        <v/>
      </c>
      <c r="P188" s="12" t="inlineStr">
        <is>
          <t>Ikke sendt</t>
        </is>
      </c>
      <c r="Q188" s="15">
        <f>IF($D188="","",IFERROR(VLOOKUP($O188,Lists!$A$2:$B$6,2,FALSE),0))</f>
        <v/>
      </c>
      <c r="R188" s="16">
        <f>IF($I188="","",$I188-TODAY())</f>
        <v/>
      </c>
      <c r="S188" s="12">
        <f>IF(AND($I188&lt;&gt;"",$I188&lt;TODAY(),NOT(OR($O188="Ferdig",$O188="Korrekturlest"))),"OVERDUE","")</f>
        <v/>
      </c>
      <c r="T188" s="12" t="inlineStr">
        <is>
          <t>Middels</t>
        </is>
      </c>
      <c r="U188" s="12" t="inlineStr"/>
      <c r="V188" s="12" t="inlineStr"/>
      <c r="W188" s="12" t="inlineStr"/>
      <c r="X188" s="14" t="inlineStr"/>
    </row>
    <row r="189" ht="20" customHeight="1">
      <c r="A189" s="12" t="inlineStr"/>
      <c r="B189" s="12" t="inlineStr"/>
      <c r="C189" s="12" t="inlineStr"/>
      <c r="D189" s="12" t="inlineStr"/>
      <c r="E189" s="6" t="inlineStr"/>
      <c r="F189" s="13" t="inlineStr"/>
      <c r="G189" s="13" t="inlineStr"/>
      <c r="H189" s="14" t="inlineStr"/>
      <c r="I189" s="14" t="inlineStr"/>
      <c r="J189" s="14" t="inlineStr"/>
      <c r="K189" s="14" t="inlineStr"/>
      <c r="L189" s="12" t="inlineStr"/>
      <c r="M189" s="12" t="inlineStr"/>
      <c r="N189" s="12" t="inlineStr"/>
      <c r="O189" s="12">
        <f>IF($N189="x","Korrekturlest",IF($M189="x","Ferdig",IF($L189="x","Mest ferdig",IF($J189&lt;&gt;"","Pågår","Ikke startet"))))</f>
        <v/>
      </c>
      <c r="P189" s="12" t="inlineStr">
        <is>
          <t>Ikke sendt</t>
        </is>
      </c>
      <c r="Q189" s="15">
        <f>IF($D189="","",IFERROR(VLOOKUP($O189,Lists!$A$2:$B$6,2,FALSE),0))</f>
        <v/>
      </c>
      <c r="R189" s="16">
        <f>IF($I189="","",$I189-TODAY())</f>
        <v/>
      </c>
      <c r="S189" s="12">
        <f>IF(AND($I189&lt;&gt;"",$I189&lt;TODAY(),NOT(OR($O189="Ferdig",$O189="Korrekturlest"))),"OVERDUE","")</f>
        <v/>
      </c>
      <c r="T189" s="12" t="inlineStr">
        <is>
          <t>Middels</t>
        </is>
      </c>
      <c r="U189" s="12" t="inlineStr"/>
      <c r="V189" s="12" t="inlineStr"/>
      <c r="W189" s="12" t="inlineStr"/>
      <c r="X189" s="14" t="inlineStr"/>
    </row>
    <row r="190" ht="20" customHeight="1">
      <c r="A190" s="12" t="inlineStr"/>
      <c r="B190" s="12" t="inlineStr"/>
      <c r="C190" s="12" t="inlineStr"/>
      <c r="D190" s="12" t="inlineStr"/>
      <c r="E190" s="6" t="inlineStr"/>
      <c r="F190" s="13" t="inlineStr"/>
      <c r="G190" s="13" t="inlineStr"/>
      <c r="H190" s="14" t="inlineStr"/>
      <c r="I190" s="14" t="inlineStr"/>
      <c r="J190" s="14" t="inlineStr"/>
      <c r="K190" s="14" t="inlineStr"/>
      <c r="L190" s="12" t="inlineStr"/>
      <c r="M190" s="12" t="inlineStr"/>
      <c r="N190" s="12" t="inlineStr"/>
      <c r="O190" s="12">
        <f>IF($N190="x","Korrekturlest",IF($M190="x","Ferdig",IF($L190="x","Mest ferdig",IF($J190&lt;&gt;"","Pågår","Ikke startet"))))</f>
        <v/>
      </c>
      <c r="P190" s="12" t="inlineStr">
        <is>
          <t>Ikke sendt</t>
        </is>
      </c>
      <c r="Q190" s="15">
        <f>IF($D190="","",IFERROR(VLOOKUP($O190,Lists!$A$2:$B$6,2,FALSE),0))</f>
        <v/>
      </c>
      <c r="R190" s="16">
        <f>IF($I190="","",$I190-TODAY())</f>
        <v/>
      </c>
      <c r="S190" s="12">
        <f>IF(AND($I190&lt;&gt;"",$I190&lt;TODAY(),NOT(OR($O190="Ferdig",$O190="Korrekturlest"))),"OVERDUE","")</f>
        <v/>
      </c>
      <c r="T190" s="12" t="inlineStr">
        <is>
          <t>Middels</t>
        </is>
      </c>
      <c r="U190" s="12" t="inlineStr"/>
      <c r="V190" s="12" t="inlineStr"/>
      <c r="W190" s="12" t="inlineStr"/>
      <c r="X190" s="14" t="inlineStr"/>
    </row>
    <row r="191" ht="20" customHeight="1">
      <c r="A191" s="12" t="inlineStr"/>
      <c r="B191" s="12" t="inlineStr"/>
      <c r="C191" s="12" t="inlineStr"/>
      <c r="D191" s="12" t="inlineStr"/>
      <c r="E191" s="6" t="inlineStr"/>
      <c r="F191" s="13" t="inlineStr"/>
      <c r="G191" s="13" t="inlineStr"/>
      <c r="H191" s="14" t="inlineStr"/>
      <c r="I191" s="14" t="inlineStr"/>
      <c r="J191" s="14" t="inlineStr"/>
      <c r="K191" s="14" t="inlineStr"/>
      <c r="L191" s="12" t="inlineStr"/>
      <c r="M191" s="12" t="inlineStr"/>
      <c r="N191" s="12" t="inlineStr"/>
      <c r="O191" s="12">
        <f>IF($N191="x","Korrekturlest",IF($M191="x","Ferdig",IF($L191="x","Mest ferdig",IF($J191&lt;&gt;"","Pågår","Ikke startet"))))</f>
        <v/>
      </c>
      <c r="P191" s="12" t="inlineStr">
        <is>
          <t>Ikke sendt</t>
        </is>
      </c>
      <c r="Q191" s="15">
        <f>IF($D191="","",IFERROR(VLOOKUP($O191,Lists!$A$2:$B$6,2,FALSE),0))</f>
        <v/>
      </c>
      <c r="R191" s="16">
        <f>IF($I191="","",$I191-TODAY())</f>
        <v/>
      </c>
      <c r="S191" s="12">
        <f>IF(AND($I191&lt;&gt;"",$I191&lt;TODAY(),NOT(OR($O191="Ferdig",$O191="Korrekturlest"))),"OVERDUE","")</f>
        <v/>
      </c>
      <c r="T191" s="12" t="inlineStr">
        <is>
          <t>Middels</t>
        </is>
      </c>
      <c r="U191" s="12" t="inlineStr"/>
      <c r="V191" s="12" t="inlineStr"/>
      <c r="W191" s="12" t="inlineStr"/>
      <c r="X191" s="14" t="inlineStr"/>
    </row>
    <row r="192" ht="20" customHeight="1">
      <c r="A192" s="12" t="inlineStr"/>
      <c r="B192" s="12" t="inlineStr"/>
      <c r="C192" s="12" t="inlineStr"/>
      <c r="D192" s="12" t="inlineStr"/>
      <c r="E192" s="6" t="inlineStr"/>
      <c r="F192" s="13" t="inlineStr"/>
      <c r="G192" s="13" t="inlineStr"/>
      <c r="H192" s="14" t="inlineStr"/>
      <c r="I192" s="14" t="inlineStr"/>
      <c r="J192" s="14" t="inlineStr"/>
      <c r="K192" s="14" t="inlineStr"/>
      <c r="L192" s="12" t="inlineStr"/>
      <c r="M192" s="12" t="inlineStr"/>
      <c r="N192" s="12" t="inlineStr"/>
      <c r="O192" s="12">
        <f>IF($N192="x","Korrekturlest",IF($M192="x","Ferdig",IF($L192="x","Mest ferdig",IF($J192&lt;&gt;"","Pågår","Ikke startet"))))</f>
        <v/>
      </c>
      <c r="P192" s="12" t="inlineStr">
        <is>
          <t>Ikke sendt</t>
        </is>
      </c>
      <c r="Q192" s="15">
        <f>IF($D192="","",IFERROR(VLOOKUP($O192,Lists!$A$2:$B$6,2,FALSE),0))</f>
        <v/>
      </c>
      <c r="R192" s="16">
        <f>IF($I192="","",$I192-TODAY())</f>
        <v/>
      </c>
      <c r="S192" s="12">
        <f>IF(AND($I192&lt;&gt;"",$I192&lt;TODAY(),NOT(OR($O192="Ferdig",$O192="Korrekturlest"))),"OVERDUE","")</f>
        <v/>
      </c>
      <c r="T192" s="12" t="inlineStr">
        <is>
          <t>Middels</t>
        </is>
      </c>
      <c r="U192" s="12" t="inlineStr"/>
      <c r="V192" s="12" t="inlineStr"/>
      <c r="W192" s="12" t="inlineStr"/>
      <c r="X192" s="14" t="inlineStr"/>
    </row>
    <row r="193" ht="20" customHeight="1">
      <c r="A193" s="12" t="inlineStr"/>
      <c r="B193" s="12" t="inlineStr"/>
      <c r="C193" s="12" t="inlineStr"/>
      <c r="D193" s="12" t="inlineStr"/>
      <c r="E193" s="6" t="inlineStr"/>
      <c r="F193" s="13" t="inlineStr"/>
      <c r="G193" s="13" t="inlineStr"/>
      <c r="H193" s="14" t="inlineStr"/>
      <c r="I193" s="14" t="inlineStr"/>
      <c r="J193" s="14" t="inlineStr"/>
      <c r="K193" s="14" t="inlineStr"/>
      <c r="L193" s="12" t="inlineStr"/>
      <c r="M193" s="12" t="inlineStr"/>
      <c r="N193" s="12" t="inlineStr"/>
      <c r="O193" s="12">
        <f>IF($N193="x","Korrekturlest",IF($M193="x","Ferdig",IF($L193="x","Mest ferdig",IF($J193&lt;&gt;"","Pågår","Ikke startet"))))</f>
        <v/>
      </c>
      <c r="P193" s="12" t="inlineStr">
        <is>
          <t>Ikke sendt</t>
        </is>
      </c>
      <c r="Q193" s="15">
        <f>IF($D193="","",IFERROR(VLOOKUP($O193,Lists!$A$2:$B$6,2,FALSE),0))</f>
        <v/>
      </c>
      <c r="R193" s="16">
        <f>IF($I193="","",$I193-TODAY())</f>
        <v/>
      </c>
      <c r="S193" s="12">
        <f>IF(AND($I193&lt;&gt;"",$I193&lt;TODAY(),NOT(OR($O193="Ferdig",$O193="Korrekturlest"))),"OVERDUE","")</f>
        <v/>
      </c>
      <c r="T193" s="12" t="inlineStr">
        <is>
          <t>Middels</t>
        </is>
      </c>
      <c r="U193" s="12" t="inlineStr"/>
      <c r="V193" s="12" t="inlineStr"/>
      <c r="W193" s="12" t="inlineStr"/>
      <c r="X193" s="14" t="inlineStr"/>
    </row>
    <row r="194" ht="20" customHeight="1">
      <c r="A194" s="12" t="inlineStr"/>
      <c r="B194" s="12" t="inlineStr"/>
      <c r="C194" s="12" t="inlineStr"/>
      <c r="D194" s="12" t="inlineStr"/>
      <c r="E194" s="6" t="inlineStr"/>
      <c r="F194" s="13" t="inlineStr"/>
      <c r="G194" s="13" t="inlineStr"/>
      <c r="H194" s="14" t="inlineStr"/>
      <c r="I194" s="14" t="inlineStr"/>
      <c r="J194" s="14" t="inlineStr"/>
      <c r="K194" s="14" t="inlineStr"/>
      <c r="L194" s="12" t="inlineStr"/>
      <c r="M194" s="12" t="inlineStr"/>
      <c r="N194" s="12" t="inlineStr"/>
      <c r="O194" s="12">
        <f>IF($N194="x","Korrekturlest",IF($M194="x","Ferdig",IF($L194="x","Mest ferdig",IF($J194&lt;&gt;"","Pågår","Ikke startet"))))</f>
        <v/>
      </c>
      <c r="P194" s="12" t="inlineStr">
        <is>
          <t>Ikke sendt</t>
        </is>
      </c>
      <c r="Q194" s="15">
        <f>IF($D194="","",IFERROR(VLOOKUP($O194,Lists!$A$2:$B$6,2,FALSE),0))</f>
        <v/>
      </c>
      <c r="R194" s="16">
        <f>IF($I194="","",$I194-TODAY())</f>
        <v/>
      </c>
      <c r="S194" s="12">
        <f>IF(AND($I194&lt;&gt;"",$I194&lt;TODAY(),NOT(OR($O194="Ferdig",$O194="Korrekturlest"))),"OVERDUE","")</f>
        <v/>
      </c>
      <c r="T194" s="12" t="inlineStr">
        <is>
          <t>Middels</t>
        </is>
      </c>
      <c r="U194" s="12" t="inlineStr"/>
      <c r="V194" s="12" t="inlineStr"/>
      <c r="W194" s="12" t="inlineStr"/>
      <c r="X194" s="14" t="inlineStr"/>
    </row>
    <row r="195" ht="20" customHeight="1">
      <c r="A195" s="12" t="inlineStr"/>
      <c r="B195" s="12" t="inlineStr"/>
      <c r="C195" s="12" t="inlineStr"/>
      <c r="D195" s="12" t="inlineStr"/>
      <c r="E195" s="6" t="inlineStr"/>
      <c r="F195" s="13" t="inlineStr"/>
      <c r="G195" s="13" t="inlineStr"/>
      <c r="H195" s="14" t="inlineStr"/>
      <c r="I195" s="14" t="inlineStr"/>
      <c r="J195" s="14" t="inlineStr"/>
      <c r="K195" s="14" t="inlineStr"/>
      <c r="L195" s="12" t="inlineStr"/>
      <c r="M195" s="12" t="inlineStr"/>
      <c r="N195" s="12" t="inlineStr"/>
      <c r="O195" s="12">
        <f>IF($N195="x","Korrekturlest",IF($M195="x","Ferdig",IF($L195="x","Mest ferdig",IF($J195&lt;&gt;"","Pågår","Ikke startet"))))</f>
        <v/>
      </c>
      <c r="P195" s="12" t="inlineStr">
        <is>
          <t>Ikke sendt</t>
        </is>
      </c>
      <c r="Q195" s="15">
        <f>IF($D195="","",IFERROR(VLOOKUP($O195,Lists!$A$2:$B$6,2,FALSE),0))</f>
        <v/>
      </c>
      <c r="R195" s="16">
        <f>IF($I195="","",$I195-TODAY())</f>
        <v/>
      </c>
      <c r="S195" s="12">
        <f>IF(AND($I195&lt;&gt;"",$I195&lt;TODAY(),NOT(OR($O195="Ferdig",$O195="Korrekturlest"))),"OVERDUE","")</f>
        <v/>
      </c>
      <c r="T195" s="12" t="inlineStr">
        <is>
          <t>Middels</t>
        </is>
      </c>
      <c r="U195" s="12" t="inlineStr"/>
      <c r="V195" s="12" t="inlineStr"/>
      <c r="W195" s="12" t="inlineStr"/>
      <c r="X195" s="14" t="inlineStr"/>
    </row>
    <row r="196" ht="20" customHeight="1">
      <c r="A196" s="12" t="inlineStr"/>
      <c r="B196" s="12" t="inlineStr"/>
      <c r="C196" s="12" t="inlineStr"/>
      <c r="D196" s="12" t="inlineStr"/>
      <c r="E196" s="6" t="inlineStr"/>
      <c r="F196" s="13" t="inlineStr"/>
      <c r="G196" s="13" t="inlineStr"/>
      <c r="H196" s="14" t="inlineStr"/>
      <c r="I196" s="14" t="inlineStr"/>
      <c r="J196" s="14" t="inlineStr"/>
      <c r="K196" s="14" t="inlineStr"/>
      <c r="L196" s="12" t="inlineStr"/>
      <c r="M196" s="12" t="inlineStr"/>
      <c r="N196" s="12" t="inlineStr"/>
      <c r="O196" s="12">
        <f>IF($N196="x","Korrekturlest",IF($M196="x","Ferdig",IF($L196="x","Mest ferdig",IF($J196&lt;&gt;"","Pågår","Ikke startet"))))</f>
        <v/>
      </c>
      <c r="P196" s="12" t="inlineStr">
        <is>
          <t>Ikke sendt</t>
        </is>
      </c>
      <c r="Q196" s="15">
        <f>IF($D196="","",IFERROR(VLOOKUP($O196,Lists!$A$2:$B$6,2,FALSE),0))</f>
        <v/>
      </c>
      <c r="R196" s="16">
        <f>IF($I196="","",$I196-TODAY())</f>
        <v/>
      </c>
      <c r="S196" s="12">
        <f>IF(AND($I196&lt;&gt;"",$I196&lt;TODAY(),NOT(OR($O196="Ferdig",$O196="Korrekturlest"))),"OVERDUE","")</f>
        <v/>
      </c>
      <c r="T196" s="12" t="inlineStr">
        <is>
          <t>Middels</t>
        </is>
      </c>
      <c r="U196" s="12" t="inlineStr"/>
      <c r="V196" s="12" t="inlineStr"/>
      <c r="W196" s="12" t="inlineStr"/>
      <c r="X196" s="14" t="inlineStr"/>
    </row>
    <row r="197" ht="20" customHeight="1">
      <c r="A197" s="12" t="inlineStr"/>
      <c r="B197" s="12" t="inlineStr"/>
      <c r="C197" s="12" t="inlineStr"/>
      <c r="D197" s="12" t="inlineStr"/>
      <c r="E197" s="6" t="inlineStr"/>
      <c r="F197" s="13" t="inlineStr"/>
      <c r="G197" s="13" t="inlineStr"/>
      <c r="H197" s="14" t="inlineStr"/>
      <c r="I197" s="14" t="inlineStr"/>
      <c r="J197" s="14" t="inlineStr"/>
      <c r="K197" s="14" t="inlineStr"/>
      <c r="L197" s="12" t="inlineStr"/>
      <c r="M197" s="12" t="inlineStr"/>
      <c r="N197" s="12" t="inlineStr"/>
      <c r="O197" s="12">
        <f>IF($N197="x","Korrekturlest",IF($M197="x","Ferdig",IF($L197="x","Mest ferdig",IF($J197&lt;&gt;"","Pågår","Ikke startet"))))</f>
        <v/>
      </c>
      <c r="P197" s="12" t="inlineStr">
        <is>
          <t>Ikke sendt</t>
        </is>
      </c>
      <c r="Q197" s="15">
        <f>IF($D197="","",IFERROR(VLOOKUP($O197,Lists!$A$2:$B$6,2,FALSE),0))</f>
        <v/>
      </c>
      <c r="R197" s="16">
        <f>IF($I197="","",$I197-TODAY())</f>
        <v/>
      </c>
      <c r="S197" s="12">
        <f>IF(AND($I197&lt;&gt;"",$I197&lt;TODAY(),NOT(OR($O197="Ferdig",$O197="Korrekturlest"))),"OVERDUE","")</f>
        <v/>
      </c>
      <c r="T197" s="12" t="inlineStr">
        <is>
          <t>Middels</t>
        </is>
      </c>
      <c r="U197" s="12" t="inlineStr"/>
      <c r="V197" s="12" t="inlineStr"/>
      <c r="W197" s="12" t="inlineStr"/>
      <c r="X197" s="14" t="inlineStr"/>
    </row>
    <row r="198" ht="20" customHeight="1">
      <c r="A198" s="12" t="inlineStr"/>
      <c r="B198" s="12" t="inlineStr"/>
      <c r="C198" s="12" t="inlineStr"/>
      <c r="D198" s="12" t="inlineStr"/>
      <c r="E198" s="6" t="inlineStr"/>
      <c r="F198" s="13" t="inlineStr"/>
      <c r="G198" s="13" t="inlineStr"/>
      <c r="H198" s="14" t="inlineStr"/>
      <c r="I198" s="14" t="inlineStr"/>
      <c r="J198" s="14" t="inlineStr"/>
      <c r="K198" s="14" t="inlineStr"/>
      <c r="L198" s="12" t="inlineStr"/>
      <c r="M198" s="12" t="inlineStr"/>
      <c r="N198" s="12" t="inlineStr"/>
      <c r="O198" s="12">
        <f>IF($N198="x","Korrekturlest",IF($M198="x","Ferdig",IF($L198="x","Mest ferdig",IF($J198&lt;&gt;"","Pågår","Ikke startet"))))</f>
        <v/>
      </c>
      <c r="P198" s="12" t="inlineStr">
        <is>
          <t>Ikke sendt</t>
        </is>
      </c>
      <c r="Q198" s="15">
        <f>IF($D198="","",IFERROR(VLOOKUP($O198,Lists!$A$2:$B$6,2,FALSE),0))</f>
        <v/>
      </c>
      <c r="R198" s="16">
        <f>IF($I198="","",$I198-TODAY())</f>
        <v/>
      </c>
      <c r="S198" s="12">
        <f>IF(AND($I198&lt;&gt;"",$I198&lt;TODAY(),NOT(OR($O198="Ferdig",$O198="Korrekturlest"))),"OVERDUE","")</f>
        <v/>
      </c>
      <c r="T198" s="12" t="inlineStr">
        <is>
          <t>Middels</t>
        </is>
      </c>
      <c r="U198" s="12" t="inlineStr"/>
      <c r="V198" s="12" t="inlineStr"/>
      <c r="W198" s="12" t="inlineStr"/>
      <c r="X198" s="14" t="inlineStr"/>
    </row>
    <row r="199" ht="20" customHeight="1">
      <c r="A199" s="12" t="inlineStr"/>
      <c r="B199" s="12" t="inlineStr"/>
      <c r="C199" s="12" t="inlineStr"/>
      <c r="D199" s="12" t="inlineStr"/>
      <c r="E199" s="6" t="inlineStr"/>
      <c r="F199" s="13" t="inlineStr"/>
      <c r="G199" s="13" t="inlineStr"/>
      <c r="H199" s="14" t="inlineStr"/>
      <c r="I199" s="14" t="inlineStr"/>
      <c r="J199" s="14" t="inlineStr"/>
      <c r="K199" s="14" t="inlineStr"/>
      <c r="L199" s="12" t="inlineStr"/>
      <c r="M199" s="12" t="inlineStr"/>
      <c r="N199" s="12" t="inlineStr"/>
      <c r="O199" s="12">
        <f>IF($N199="x","Korrekturlest",IF($M199="x","Ferdig",IF($L199="x","Mest ferdig",IF($J199&lt;&gt;"","Pågår","Ikke startet"))))</f>
        <v/>
      </c>
      <c r="P199" s="12" t="inlineStr">
        <is>
          <t>Ikke sendt</t>
        </is>
      </c>
      <c r="Q199" s="15">
        <f>IF($D199="","",IFERROR(VLOOKUP($O199,Lists!$A$2:$B$6,2,FALSE),0))</f>
        <v/>
      </c>
      <c r="R199" s="16">
        <f>IF($I199="","",$I199-TODAY())</f>
        <v/>
      </c>
      <c r="S199" s="12">
        <f>IF(AND($I199&lt;&gt;"",$I199&lt;TODAY(),NOT(OR($O199="Ferdig",$O199="Korrekturlest"))),"OVERDUE","")</f>
        <v/>
      </c>
      <c r="T199" s="12" t="inlineStr">
        <is>
          <t>Middels</t>
        </is>
      </c>
      <c r="U199" s="12" t="inlineStr"/>
      <c r="V199" s="12" t="inlineStr"/>
      <c r="W199" s="12" t="inlineStr"/>
      <c r="X199" s="14" t="inlineStr"/>
    </row>
    <row r="200" ht="20" customHeight="1">
      <c r="A200" s="12" t="inlineStr"/>
      <c r="B200" s="12" t="inlineStr"/>
      <c r="C200" s="12" t="inlineStr"/>
      <c r="D200" s="12" t="inlineStr"/>
      <c r="E200" s="6" t="inlineStr"/>
      <c r="F200" s="13" t="inlineStr"/>
      <c r="G200" s="13" t="inlineStr"/>
      <c r="H200" s="14" t="inlineStr"/>
      <c r="I200" s="14" t="inlineStr"/>
      <c r="J200" s="14" t="inlineStr"/>
      <c r="K200" s="14" t="inlineStr"/>
      <c r="L200" s="12" t="inlineStr"/>
      <c r="M200" s="12" t="inlineStr"/>
      <c r="N200" s="12" t="inlineStr"/>
      <c r="O200" s="12">
        <f>IF($N200="x","Korrekturlest",IF($M200="x","Ferdig",IF($L200="x","Mest ferdig",IF($J200&lt;&gt;"","Pågår","Ikke startet"))))</f>
        <v/>
      </c>
      <c r="P200" s="12" t="inlineStr">
        <is>
          <t>Ikke sendt</t>
        </is>
      </c>
      <c r="Q200" s="15">
        <f>IF($D200="","",IFERROR(VLOOKUP($O200,Lists!$A$2:$B$6,2,FALSE),0))</f>
        <v/>
      </c>
      <c r="R200" s="16">
        <f>IF($I200="","",$I200-TODAY())</f>
        <v/>
      </c>
      <c r="S200" s="12">
        <f>IF(AND($I200&lt;&gt;"",$I200&lt;TODAY(),NOT(OR($O200="Ferdig",$O200="Korrekturlest"))),"OVERDUE","")</f>
        <v/>
      </c>
      <c r="T200" s="12" t="inlineStr">
        <is>
          <t>Middels</t>
        </is>
      </c>
      <c r="U200" s="12" t="inlineStr"/>
      <c r="V200" s="12" t="inlineStr"/>
      <c r="W200" s="12" t="inlineStr"/>
      <c r="X200" s="14" t="inlineStr"/>
    </row>
    <row r="201" ht="20" customHeight="1">
      <c r="A201" s="12" t="inlineStr"/>
      <c r="B201" s="12" t="inlineStr"/>
      <c r="C201" s="12" t="inlineStr"/>
      <c r="D201" s="12" t="inlineStr"/>
      <c r="E201" s="6" t="inlineStr"/>
      <c r="F201" s="13" t="inlineStr"/>
      <c r="G201" s="13" t="inlineStr"/>
      <c r="H201" s="14" t="inlineStr"/>
      <c r="I201" s="14" t="inlineStr"/>
      <c r="J201" s="14" t="inlineStr"/>
      <c r="K201" s="14" t="inlineStr"/>
      <c r="L201" s="12" t="inlineStr"/>
      <c r="M201" s="12" t="inlineStr"/>
      <c r="N201" s="12" t="inlineStr"/>
      <c r="O201" s="12">
        <f>IF($N201="x","Korrekturlest",IF($M201="x","Ferdig",IF($L201="x","Mest ferdig",IF($J201&lt;&gt;"","Pågår","Ikke startet"))))</f>
        <v/>
      </c>
      <c r="P201" s="12" t="inlineStr">
        <is>
          <t>Ikke sendt</t>
        </is>
      </c>
      <c r="Q201" s="15">
        <f>IF($D201="","",IFERROR(VLOOKUP($O201,Lists!$A$2:$B$6,2,FALSE),0))</f>
        <v/>
      </c>
      <c r="R201" s="16">
        <f>IF($I201="","",$I201-TODAY())</f>
        <v/>
      </c>
      <c r="S201" s="12">
        <f>IF(AND($I201&lt;&gt;"",$I201&lt;TODAY(),NOT(OR($O201="Ferdig",$O201="Korrekturlest"))),"OVERDUE","")</f>
        <v/>
      </c>
      <c r="T201" s="12" t="inlineStr">
        <is>
          <t>Middels</t>
        </is>
      </c>
      <c r="U201" s="12" t="inlineStr"/>
      <c r="V201" s="12" t="inlineStr"/>
      <c r="W201" s="12" t="inlineStr"/>
      <c r="X201" s="14" t="inlineStr"/>
    </row>
    <row r="202" ht="20" customHeight="1">
      <c r="A202" s="12" t="inlineStr"/>
      <c r="B202" s="12" t="inlineStr"/>
      <c r="C202" s="12" t="inlineStr"/>
      <c r="D202" s="12" t="inlineStr"/>
      <c r="E202" s="6" t="inlineStr"/>
      <c r="F202" s="13" t="inlineStr"/>
      <c r="G202" s="13" t="inlineStr"/>
      <c r="H202" s="14" t="inlineStr"/>
      <c r="I202" s="14" t="inlineStr"/>
      <c r="J202" s="14" t="inlineStr"/>
      <c r="K202" s="14" t="inlineStr"/>
      <c r="L202" s="12" t="inlineStr"/>
      <c r="M202" s="12" t="inlineStr"/>
      <c r="N202" s="12" t="inlineStr"/>
      <c r="O202" s="12">
        <f>IF($N202="x","Korrekturlest",IF($M202="x","Ferdig",IF($L202="x","Mest ferdig",IF($J202&lt;&gt;"","Pågår","Ikke startet"))))</f>
        <v/>
      </c>
      <c r="P202" s="12" t="inlineStr">
        <is>
          <t>Ikke sendt</t>
        </is>
      </c>
      <c r="Q202" s="15">
        <f>IF($D202="","",IFERROR(VLOOKUP($O202,Lists!$A$2:$B$6,2,FALSE),0))</f>
        <v/>
      </c>
      <c r="R202" s="16">
        <f>IF($I202="","",$I202-TODAY())</f>
        <v/>
      </c>
      <c r="S202" s="12">
        <f>IF(AND($I202&lt;&gt;"",$I202&lt;TODAY(),NOT(OR($O202="Ferdig",$O202="Korrekturlest"))),"OVERDUE","")</f>
        <v/>
      </c>
      <c r="T202" s="12" t="inlineStr">
        <is>
          <t>Middels</t>
        </is>
      </c>
      <c r="U202" s="12" t="inlineStr"/>
      <c r="V202" s="12" t="inlineStr"/>
      <c r="W202" s="12" t="inlineStr"/>
      <c r="X202" s="14" t="inlineStr"/>
    </row>
    <row r="203" ht="20" customHeight="1">
      <c r="A203" s="12" t="inlineStr"/>
      <c r="B203" s="12" t="inlineStr"/>
      <c r="C203" s="12" t="inlineStr"/>
      <c r="D203" s="12" t="inlineStr"/>
      <c r="E203" s="6" t="inlineStr"/>
      <c r="F203" s="13" t="inlineStr"/>
      <c r="G203" s="13" t="inlineStr"/>
      <c r="H203" s="14" t="inlineStr"/>
      <c r="I203" s="14" t="inlineStr"/>
      <c r="J203" s="14" t="inlineStr"/>
      <c r="K203" s="14" t="inlineStr"/>
      <c r="L203" s="12" t="inlineStr"/>
      <c r="M203" s="12" t="inlineStr"/>
      <c r="N203" s="12" t="inlineStr"/>
      <c r="O203" s="12">
        <f>IF($N203="x","Korrekturlest",IF($M203="x","Ferdig",IF($L203="x","Mest ferdig",IF($J203&lt;&gt;"","Pågår","Ikke startet"))))</f>
        <v/>
      </c>
      <c r="P203" s="12" t="inlineStr">
        <is>
          <t>Ikke sendt</t>
        </is>
      </c>
      <c r="Q203" s="15">
        <f>IF($D203="","",IFERROR(VLOOKUP($O203,Lists!$A$2:$B$6,2,FALSE),0))</f>
        <v/>
      </c>
      <c r="R203" s="16">
        <f>IF($I203="","",$I203-TODAY())</f>
        <v/>
      </c>
      <c r="S203" s="12">
        <f>IF(AND($I203&lt;&gt;"",$I203&lt;TODAY(),NOT(OR($O203="Ferdig",$O203="Korrekturlest"))),"OVERDUE","")</f>
        <v/>
      </c>
      <c r="T203" s="12" t="inlineStr">
        <is>
          <t>Middels</t>
        </is>
      </c>
      <c r="U203" s="12" t="inlineStr"/>
      <c r="V203" s="12" t="inlineStr"/>
      <c r="W203" s="12" t="inlineStr"/>
      <c r="X203" s="14" t="inlineStr"/>
    </row>
    <row r="204" ht="20" customHeight="1">
      <c r="A204" s="12" t="inlineStr"/>
      <c r="B204" s="12" t="inlineStr"/>
      <c r="C204" s="12" t="inlineStr"/>
      <c r="D204" s="12" t="inlineStr"/>
      <c r="E204" s="6" t="inlineStr"/>
      <c r="F204" s="13" t="inlineStr"/>
      <c r="G204" s="13" t="inlineStr"/>
      <c r="H204" s="14" t="inlineStr"/>
      <c r="I204" s="14" t="inlineStr"/>
      <c r="J204" s="14" t="inlineStr"/>
      <c r="K204" s="14" t="inlineStr"/>
      <c r="L204" s="12" t="inlineStr"/>
      <c r="M204" s="12" t="inlineStr"/>
      <c r="N204" s="12" t="inlineStr"/>
      <c r="O204" s="12">
        <f>IF($N204="x","Korrekturlest",IF($M204="x","Ferdig",IF($L204="x","Mest ferdig",IF($J204&lt;&gt;"","Pågår","Ikke startet"))))</f>
        <v/>
      </c>
      <c r="P204" s="12" t="inlineStr">
        <is>
          <t>Ikke sendt</t>
        </is>
      </c>
      <c r="Q204" s="15">
        <f>IF($D204="","",IFERROR(VLOOKUP($O204,Lists!$A$2:$B$6,2,FALSE),0))</f>
        <v/>
      </c>
      <c r="R204" s="16">
        <f>IF($I204="","",$I204-TODAY())</f>
        <v/>
      </c>
      <c r="S204" s="12">
        <f>IF(AND($I204&lt;&gt;"",$I204&lt;TODAY(),NOT(OR($O204="Ferdig",$O204="Korrekturlest"))),"OVERDUE","")</f>
        <v/>
      </c>
      <c r="T204" s="12" t="inlineStr">
        <is>
          <t>Middels</t>
        </is>
      </c>
      <c r="U204" s="12" t="inlineStr"/>
      <c r="V204" s="12" t="inlineStr"/>
      <c r="W204" s="12" t="inlineStr"/>
      <c r="X204" s="14" t="inlineStr"/>
    </row>
    <row r="205" ht="20" customHeight="1">
      <c r="A205" s="12" t="inlineStr"/>
      <c r="B205" s="12" t="inlineStr"/>
      <c r="C205" s="12" t="inlineStr"/>
      <c r="D205" s="12" t="inlineStr"/>
      <c r="E205" s="6" t="inlineStr"/>
      <c r="F205" s="13" t="inlineStr"/>
      <c r="G205" s="13" t="inlineStr"/>
      <c r="H205" s="14" t="inlineStr"/>
      <c r="I205" s="14" t="inlineStr"/>
      <c r="J205" s="14" t="inlineStr"/>
      <c r="K205" s="14" t="inlineStr"/>
      <c r="L205" s="12" t="inlineStr"/>
      <c r="M205" s="12" t="inlineStr"/>
      <c r="N205" s="12" t="inlineStr"/>
      <c r="O205" s="12">
        <f>IF($N205="x","Korrekturlest",IF($M205="x","Ferdig",IF($L205="x","Mest ferdig",IF($J205&lt;&gt;"","Pågår","Ikke startet"))))</f>
        <v/>
      </c>
      <c r="P205" s="12" t="inlineStr">
        <is>
          <t>Ikke sendt</t>
        </is>
      </c>
      <c r="Q205" s="15">
        <f>IF($D205="","",IFERROR(VLOOKUP($O205,Lists!$A$2:$B$6,2,FALSE),0))</f>
        <v/>
      </c>
      <c r="R205" s="16">
        <f>IF($I205="","",$I205-TODAY())</f>
        <v/>
      </c>
      <c r="S205" s="12">
        <f>IF(AND($I205&lt;&gt;"",$I205&lt;TODAY(),NOT(OR($O205="Ferdig",$O205="Korrekturlest"))),"OVERDUE","")</f>
        <v/>
      </c>
      <c r="T205" s="12" t="inlineStr">
        <is>
          <t>Middels</t>
        </is>
      </c>
      <c r="U205" s="12" t="inlineStr"/>
      <c r="V205" s="12" t="inlineStr"/>
      <c r="W205" s="12" t="inlineStr"/>
      <c r="X205" s="14" t="inlineStr"/>
    </row>
    <row r="206" ht="20" customHeight="1">
      <c r="A206" s="12" t="inlineStr"/>
      <c r="B206" s="12" t="inlineStr"/>
      <c r="C206" s="12" t="inlineStr"/>
      <c r="D206" s="12" t="inlineStr"/>
      <c r="E206" s="6" t="inlineStr"/>
      <c r="F206" s="13" t="inlineStr"/>
      <c r="G206" s="13" t="inlineStr"/>
      <c r="H206" s="14" t="inlineStr"/>
      <c r="I206" s="14" t="inlineStr"/>
      <c r="J206" s="14" t="inlineStr"/>
      <c r="K206" s="14" t="inlineStr"/>
      <c r="L206" s="12" t="inlineStr"/>
      <c r="M206" s="12" t="inlineStr"/>
      <c r="N206" s="12" t="inlineStr"/>
      <c r="O206" s="12">
        <f>IF($N206="x","Korrekturlest",IF($M206="x","Ferdig",IF($L206="x","Mest ferdig",IF($J206&lt;&gt;"","Pågår","Ikke startet"))))</f>
        <v/>
      </c>
      <c r="P206" s="12" t="inlineStr">
        <is>
          <t>Ikke sendt</t>
        </is>
      </c>
      <c r="Q206" s="15">
        <f>IF($D206="","",IFERROR(VLOOKUP($O206,Lists!$A$2:$B$6,2,FALSE),0))</f>
        <v/>
      </c>
      <c r="R206" s="16">
        <f>IF($I206="","",$I206-TODAY())</f>
        <v/>
      </c>
      <c r="S206" s="12">
        <f>IF(AND($I206&lt;&gt;"",$I206&lt;TODAY(),NOT(OR($O206="Ferdig",$O206="Korrekturlest"))),"OVERDUE","")</f>
        <v/>
      </c>
      <c r="T206" s="12" t="inlineStr">
        <is>
          <t>Middels</t>
        </is>
      </c>
      <c r="U206" s="12" t="inlineStr"/>
      <c r="V206" s="12" t="inlineStr"/>
      <c r="W206" s="12" t="inlineStr"/>
      <c r="X206" s="14" t="inlineStr"/>
    </row>
    <row r="207" ht="20" customHeight="1">
      <c r="A207" s="12" t="inlineStr"/>
      <c r="B207" s="12" t="inlineStr"/>
      <c r="C207" s="12" t="inlineStr"/>
      <c r="D207" s="12" t="inlineStr"/>
      <c r="E207" s="6" t="inlineStr"/>
      <c r="F207" s="13" t="inlineStr"/>
      <c r="G207" s="13" t="inlineStr"/>
      <c r="H207" s="14" t="inlineStr"/>
      <c r="I207" s="14" t="inlineStr"/>
      <c r="J207" s="14" t="inlineStr"/>
      <c r="K207" s="14" t="inlineStr"/>
      <c r="L207" s="12" t="inlineStr"/>
      <c r="M207" s="12" t="inlineStr"/>
      <c r="N207" s="12" t="inlineStr"/>
      <c r="O207" s="12">
        <f>IF($N207="x","Korrekturlest",IF($M207="x","Ferdig",IF($L207="x","Mest ferdig",IF($J207&lt;&gt;"","Pågår","Ikke startet"))))</f>
        <v/>
      </c>
      <c r="P207" s="12" t="inlineStr">
        <is>
          <t>Ikke sendt</t>
        </is>
      </c>
      <c r="Q207" s="15">
        <f>IF($D207="","",IFERROR(VLOOKUP($O207,Lists!$A$2:$B$6,2,FALSE),0))</f>
        <v/>
      </c>
      <c r="R207" s="16">
        <f>IF($I207="","",$I207-TODAY())</f>
        <v/>
      </c>
      <c r="S207" s="12">
        <f>IF(AND($I207&lt;&gt;"",$I207&lt;TODAY(),NOT(OR($O207="Ferdig",$O207="Korrekturlest"))),"OVERDUE","")</f>
        <v/>
      </c>
      <c r="T207" s="12" t="inlineStr">
        <is>
          <t>Middels</t>
        </is>
      </c>
      <c r="U207" s="12" t="inlineStr"/>
      <c r="V207" s="12" t="inlineStr"/>
      <c r="W207" s="12" t="inlineStr"/>
      <c r="X207" s="14" t="inlineStr"/>
    </row>
    <row r="208" ht="20" customHeight="1">
      <c r="A208" s="12" t="inlineStr"/>
      <c r="B208" s="12" t="inlineStr"/>
      <c r="C208" s="12" t="inlineStr"/>
      <c r="D208" s="12" t="inlineStr"/>
      <c r="E208" s="6" t="inlineStr"/>
      <c r="F208" s="13" t="inlineStr"/>
      <c r="G208" s="13" t="inlineStr"/>
      <c r="H208" s="14" t="inlineStr"/>
      <c r="I208" s="14" t="inlineStr"/>
      <c r="J208" s="14" t="inlineStr"/>
      <c r="K208" s="14" t="inlineStr"/>
      <c r="L208" s="12" t="inlineStr"/>
      <c r="M208" s="12" t="inlineStr"/>
      <c r="N208" s="12" t="inlineStr"/>
      <c r="O208" s="12">
        <f>IF($N208="x","Korrekturlest",IF($M208="x","Ferdig",IF($L208="x","Mest ferdig",IF($J208&lt;&gt;"","Pågår","Ikke startet"))))</f>
        <v/>
      </c>
      <c r="P208" s="12" t="inlineStr">
        <is>
          <t>Ikke sendt</t>
        </is>
      </c>
      <c r="Q208" s="15">
        <f>IF($D208="","",IFERROR(VLOOKUP($O208,Lists!$A$2:$B$6,2,FALSE),0))</f>
        <v/>
      </c>
      <c r="R208" s="16">
        <f>IF($I208="","",$I208-TODAY())</f>
        <v/>
      </c>
      <c r="S208" s="12">
        <f>IF(AND($I208&lt;&gt;"",$I208&lt;TODAY(),NOT(OR($O208="Ferdig",$O208="Korrekturlest"))),"OVERDUE","")</f>
        <v/>
      </c>
      <c r="T208" s="12" t="inlineStr">
        <is>
          <t>Middels</t>
        </is>
      </c>
      <c r="U208" s="12" t="inlineStr"/>
      <c r="V208" s="12" t="inlineStr"/>
      <c r="W208" s="12" t="inlineStr"/>
      <c r="X208" s="14" t="inlineStr"/>
    </row>
    <row r="209" ht="20" customHeight="1">
      <c r="A209" s="12" t="inlineStr"/>
      <c r="B209" s="12" t="inlineStr"/>
      <c r="C209" s="12" t="inlineStr"/>
      <c r="D209" s="12" t="inlineStr"/>
      <c r="E209" s="6" t="inlineStr"/>
      <c r="F209" s="13" t="inlineStr"/>
      <c r="G209" s="13" t="inlineStr"/>
      <c r="H209" s="14" t="inlineStr"/>
      <c r="I209" s="14" t="inlineStr"/>
      <c r="J209" s="14" t="inlineStr"/>
      <c r="K209" s="14" t="inlineStr"/>
      <c r="L209" s="12" t="inlineStr"/>
      <c r="M209" s="12" t="inlineStr"/>
      <c r="N209" s="12" t="inlineStr"/>
      <c r="O209" s="12">
        <f>IF($N209="x","Korrekturlest",IF($M209="x","Ferdig",IF($L209="x","Mest ferdig",IF($J209&lt;&gt;"","Pågår","Ikke startet"))))</f>
        <v/>
      </c>
      <c r="P209" s="12" t="inlineStr">
        <is>
          <t>Ikke sendt</t>
        </is>
      </c>
      <c r="Q209" s="15">
        <f>IF($D209="","",IFERROR(VLOOKUP($O209,Lists!$A$2:$B$6,2,FALSE),0))</f>
        <v/>
      </c>
      <c r="R209" s="16">
        <f>IF($I209="","",$I209-TODAY())</f>
        <v/>
      </c>
      <c r="S209" s="12">
        <f>IF(AND($I209&lt;&gt;"",$I209&lt;TODAY(),NOT(OR($O209="Ferdig",$O209="Korrekturlest"))),"OVERDUE","")</f>
        <v/>
      </c>
      <c r="T209" s="12" t="inlineStr">
        <is>
          <t>Middels</t>
        </is>
      </c>
      <c r="U209" s="12" t="inlineStr"/>
      <c r="V209" s="12" t="inlineStr"/>
      <c r="W209" s="12" t="inlineStr"/>
      <c r="X209" s="14" t="inlineStr"/>
    </row>
    <row r="210" ht="20" customHeight="1">
      <c r="A210" s="12" t="inlineStr"/>
      <c r="B210" s="12" t="inlineStr"/>
      <c r="C210" s="12" t="inlineStr"/>
      <c r="D210" s="12" t="inlineStr"/>
      <c r="E210" s="6" t="inlineStr"/>
      <c r="F210" s="13" t="inlineStr"/>
      <c r="G210" s="13" t="inlineStr"/>
      <c r="H210" s="14" t="inlineStr"/>
      <c r="I210" s="14" t="inlineStr"/>
      <c r="J210" s="14" t="inlineStr"/>
      <c r="K210" s="14" t="inlineStr"/>
      <c r="L210" s="12" t="inlineStr"/>
      <c r="M210" s="12" t="inlineStr"/>
      <c r="N210" s="12" t="inlineStr"/>
      <c r="O210" s="12">
        <f>IF($N210="x","Korrekturlest",IF($M210="x","Ferdig",IF($L210="x","Mest ferdig",IF($J210&lt;&gt;"","Pågår","Ikke startet"))))</f>
        <v/>
      </c>
      <c r="P210" s="12" t="inlineStr">
        <is>
          <t>Ikke sendt</t>
        </is>
      </c>
      <c r="Q210" s="15">
        <f>IF($D210="","",IFERROR(VLOOKUP($O210,Lists!$A$2:$B$6,2,FALSE),0))</f>
        <v/>
      </c>
      <c r="R210" s="16">
        <f>IF($I210="","",$I210-TODAY())</f>
        <v/>
      </c>
      <c r="S210" s="12">
        <f>IF(AND($I210&lt;&gt;"",$I210&lt;TODAY(),NOT(OR($O210="Ferdig",$O210="Korrekturlest"))),"OVERDUE","")</f>
        <v/>
      </c>
      <c r="T210" s="12" t="inlineStr">
        <is>
          <t>Middels</t>
        </is>
      </c>
      <c r="U210" s="12" t="inlineStr"/>
      <c r="V210" s="12" t="inlineStr"/>
      <c r="W210" s="12" t="inlineStr"/>
      <c r="X210" s="14" t="inlineStr"/>
    </row>
    <row r="211" ht="20" customHeight="1">
      <c r="A211" s="12" t="inlineStr"/>
      <c r="B211" s="12" t="inlineStr"/>
      <c r="C211" s="12" t="inlineStr"/>
      <c r="D211" s="12" t="inlineStr"/>
      <c r="E211" s="6" t="inlineStr"/>
      <c r="F211" s="13" t="inlineStr"/>
      <c r="G211" s="13" t="inlineStr"/>
      <c r="H211" s="14" t="inlineStr"/>
      <c r="I211" s="14" t="inlineStr"/>
      <c r="J211" s="14" t="inlineStr"/>
      <c r="K211" s="14" t="inlineStr"/>
      <c r="L211" s="12" t="inlineStr"/>
      <c r="M211" s="12" t="inlineStr"/>
      <c r="N211" s="12" t="inlineStr"/>
      <c r="O211" s="12">
        <f>IF($N211="x","Korrekturlest",IF($M211="x","Ferdig",IF($L211="x","Mest ferdig",IF($J211&lt;&gt;"","Pågår","Ikke startet"))))</f>
        <v/>
      </c>
      <c r="P211" s="12" t="inlineStr">
        <is>
          <t>Ikke sendt</t>
        </is>
      </c>
      <c r="Q211" s="15">
        <f>IF($D211="","",IFERROR(VLOOKUP($O211,Lists!$A$2:$B$6,2,FALSE),0))</f>
        <v/>
      </c>
      <c r="R211" s="16">
        <f>IF($I211="","",$I211-TODAY())</f>
        <v/>
      </c>
      <c r="S211" s="12">
        <f>IF(AND($I211&lt;&gt;"",$I211&lt;TODAY(),NOT(OR($O211="Ferdig",$O211="Korrekturlest"))),"OVERDUE","")</f>
        <v/>
      </c>
      <c r="T211" s="12" t="inlineStr">
        <is>
          <t>Middels</t>
        </is>
      </c>
      <c r="U211" s="12" t="inlineStr"/>
      <c r="V211" s="12" t="inlineStr"/>
      <c r="W211" s="12" t="inlineStr"/>
      <c r="X211" s="14" t="inlineStr"/>
    </row>
    <row r="212" ht="20" customHeight="1">
      <c r="A212" s="12" t="inlineStr"/>
      <c r="B212" s="12" t="inlineStr"/>
      <c r="C212" s="12" t="inlineStr"/>
      <c r="D212" s="12" t="inlineStr"/>
      <c r="E212" s="6" t="inlineStr"/>
      <c r="F212" s="13" t="inlineStr"/>
      <c r="G212" s="13" t="inlineStr"/>
      <c r="H212" s="14" t="inlineStr"/>
      <c r="I212" s="14" t="inlineStr"/>
      <c r="J212" s="14" t="inlineStr"/>
      <c r="K212" s="14" t="inlineStr"/>
      <c r="L212" s="12" t="inlineStr"/>
      <c r="M212" s="12" t="inlineStr"/>
      <c r="N212" s="12" t="inlineStr"/>
      <c r="O212" s="12">
        <f>IF($N212="x","Korrekturlest",IF($M212="x","Ferdig",IF($L212="x","Mest ferdig",IF($J212&lt;&gt;"","Pågår","Ikke startet"))))</f>
        <v/>
      </c>
      <c r="P212" s="12" t="inlineStr">
        <is>
          <t>Ikke sendt</t>
        </is>
      </c>
      <c r="Q212" s="15">
        <f>IF($D212="","",IFERROR(VLOOKUP($O212,Lists!$A$2:$B$6,2,FALSE),0))</f>
        <v/>
      </c>
      <c r="R212" s="16">
        <f>IF($I212="","",$I212-TODAY())</f>
        <v/>
      </c>
      <c r="S212" s="12">
        <f>IF(AND($I212&lt;&gt;"",$I212&lt;TODAY(),NOT(OR($O212="Ferdig",$O212="Korrekturlest"))),"OVERDUE","")</f>
        <v/>
      </c>
      <c r="T212" s="12" t="inlineStr">
        <is>
          <t>Middels</t>
        </is>
      </c>
      <c r="U212" s="12" t="inlineStr"/>
      <c r="V212" s="12" t="inlineStr"/>
      <c r="W212" s="12" t="inlineStr"/>
      <c r="X212" s="14" t="inlineStr"/>
    </row>
    <row r="213" ht="20" customHeight="1">
      <c r="A213" s="12" t="inlineStr"/>
      <c r="B213" s="12" t="inlineStr"/>
      <c r="C213" s="12" t="inlineStr"/>
      <c r="D213" s="12" t="inlineStr"/>
      <c r="E213" s="6" t="inlineStr"/>
      <c r="F213" s="13" t="inlineStr"/>
      <c r="G213" s="13" t="inlineStr"/>
      <c r="H213" s="14" t="inlineStr"/>
      <c r="I213" s="14" t="inlineStr"/>
      <c r="J213" s="14" t="inlineStr"/>
      <c r="K213" s="14" t="inlineStr"/>
      <c r="L213" s="12" t="inlineStr"/>
      <c r="M213" s="12" t="inlineStr"/>
      <c r="N213" s="12" t="inlineStr"/>
      <c r="O213" s="12">
        <f>IF($N213="x","Korrekturlest",IF($M213="x","Ferdig",IF($L213="x","Mest ferdig",IF($J213&lt;&gt;"","Pågår","Ikke startet"))))</f>
        <v/>
      </c>
      <c r="P213" s="12" t="inlineStr">
        <is>
          <t>Ikke sendt</t>
        </is>
      </c>
      <c r="Q213" s="15">
        <f>IF($D213="","",IFERROR(VLOOKUP($O213,Lists!$A$2:$B$6,2,FALSE),0))</f>
        <v/>
      </c>
      <c r="R213" s="16">
        <f>IF($I213="","",$I213-TODAY())</f>
        <v/>
      </c>
      <c r="S213" s="12">
        <f>IF(AND($I213&lt;&gt;"",$I213&lt;TODAY(),NOT(OR($O213="Ferdig",$O213="Korrekturlest"))),"OVERDUE","")</f>
        <v/>
      </c>
      <c r="T213" s="12" t="inlineStr">
        <is>
          <t>Middels</t>
        </is>
      </c>
      <c r="U213" s="12" t="inlineStr"/>
      <c r="V213" s="12" t="inlineStr"/>
      <c r="W213" s="12" t="inlineStr"/>
      <c r="X213" s="14" t="inlineStr"/>
    </row>
    <row r="214" ht="20" customHeight="1">
      <c r="A214" s="12" t="inlineStr"/>
      <c r="B214" s="12" t="inlineStr"/>
      <c r="C214" s="12" t="inlineStr"/>
      <c r="D214" s="12" t="inlineStr"/>
      <c r="E214" s="6" t="inlineStr"/>
      <c r="F214" s="13" t="inlineStr"/>
      <c r="G214" s="13" t="inlineStr"/>
      <c r="H214" s="14" t="inlineStr"/>
      <c r="I214" s="14" t="inlineStr"/>
      <c r="J214" s="14" t="inlineStr"/>
      <c r="K214" s="14" t="inlineStr"/>
      <c r="L214" s="12" t="inlineStr"/>
      <c r="M214" s="12" t="inlineStr"/>
      <c r="N214" s="12" t="inlineStr"/>
      <c r="O214" s="12">
        <f>IF($N214="x","Korrekturlest",IF($M214="x","Ferdig",IF($L214="x","Mest ferdig",IF($J214&lt;&gt;"","Pågår","Ikke startet"))))</f>
        <v/>
      </c>
      <c r="P214" s="12" t="inlineStr">
        <is>
          <t>Ikke sendt</t>
        </is>
      </c>
      <c r="Q214" s="15">
        <f>IF($D214="","",IFERROR(VLOOKUP($O214,Lists!$A$2:$B$6,2,FALSE),0))</f>
        <v/>
      </c>
      <c r="R214" s="16">
        <f>IF($I214="","",$I214-TODAY())</f>
        <v/>
      </c>
      <c r="S214" s="12">
        <f>IF(AND($I214&lt;&gt;"",$I214&lt;TODAY(),NOT(OR($O214="Ferdig",$O214="Korrekturlest"))),"OVERDUE","")</f>
        <v/>
      </c>
      <c r="T214" s="12" t="inlineStr">
        <is>
          <t>Middels</t>
        </is>
      </c>
      <c r="U214" s="12" t="inlineStr"/>
      <c r="V214" s="12" t="inlineStr"/>
      <c r="W214" s="12" t="inlineStr"/>
      <c r="X214" s="14" t="inlineStr"/>
    </row>
    <row r="215" ht="20" customHeight="1">
      <c r="A215" s="12" t="inlineStr"/>
      <c r="B215" s="12" t="inlineStr"/>
      <c r="C215" s="12" t="inlineStr"/>
      <c r="D215" s="12" t="inlineStr"/>
      <c r="E215" s="6" t="inlineStr"/>
      <c r="F215" s="13" t="inlineStr"/>
      <c r="G215" s="13" t="inlineStr"/>
      <c r="H215" s="14" t="inlineStr"/>
      <c r="I215" s="14" t="inlineStr"/>
      <c r="J215" s="14" t="inlineStr"/>
      <c r="K215" s="14" t="inlineStr"/>
      <c r="L215" s="12" t="inlineStr"/>
      <c r="M215" s="12" t="inlineStr"/>
      <c r="N215" s="12" t="inlineStr"/>
      <c r="O215" s="12">
        <f>IF($N215="x","Korrekturlest",IF($M215="x","Ferdig",IF($L215="x","Mest ferdig",IF($J215&lt;&gt;"","Pågår","Ikke startet"))))</f>
        <v/>
      </c>
      <c r="P215" s="12" t="inlineStr">
        <is>
          <t>Ikke sendt</t>
        </is>
      </c>
      <c r="Q215" s="15">
        <f>IF($D215="","",IFERROR(VLOOKUP($O215,Lists!$A$2:$B$6,2,FALSE),0))</f>
        <v/>
      </c>
      <c r="R215" s="16">
        <f>IF($I215="","",$I215-TODAY())</f>
        <v/>
      </c>
      <c r="S215" s="12">
        <f>IF(AND($I215&lt;&gt;"",$I215&lt;TODAY(),NOT(OR($O215="Ferdig",$O215="Korrekturlest"))),"OVERDUE","")</f>
        <v/>
      </c>
      <c r="T215" s="12" t="inlineStr">
        <is>
          <t>Middels</t>
        </is>
      </c>
      <c r="U215" s="12" t="inlineStr"/>
      <c r="V215" s="12" t="inlineStr"/>
      <c r="W215" s="12" t="inlineStr"/>
      <c r="X215" s="14" t="inlineStr"/>
    </row>
    <row r="216" ht="20" customHeight="1">
      <c r="A216" s="12" t="inlineStr"/>
      <c r="B216" s="12" t="inlineStr"/>
      <c r="C216" s="12" t="inlineStr"/>
      <c r="D216" s="12" t="inlineStr"/>
      <c r="E216" s="6" t="inlineStr"/>
      <c r="F216" s="13" t="inlineStr"/>
      <c r="G216" s="13" t="inlineStr"/>
      <c r="H216" s="14" t="inlineStr"/>
      <c r="I216" s="14" t="inlineStr"/>
      <c r="J216" s="14" t="inlineStr"/>
      <c r="K216" s="14" t="inlineStr"/>
      <c r="L216" s="12" t="inlineStr"/>
      <c r="M216" s="12" t="inlineStr"/>
      <c r="N216" s="12" t="inlineStr"/>
      <c r="O216" s="12">
        <f>IF($N216="x","Korrekturlest",IF($M216="x","Ferdig",IF($L216="x","Mest ferdig",IF($J216&lt;&gt;"","Pågår","Ikke startet"))))</f>
        <v/>
      </c>
      <c r="P216" s="12" t="inlineStr">
        <is>
          <t>Ikke sendt</t>
        </is>
      </c>
      <c r="Q216" s="15">
        <f>IF($D216="","",IFERROR(VLOOKUP($O216,Lists!$A$2:$B$6,2,FALSE),0))</f>
        <v/>
      </c>
      <c r="R216" s="16">
        <f>IF($I216="","",$I216-TODAY())</f>
        <v/>
      </c>
      <c r="S216" s="12">
        <f>IF(AND($I216&lt;&gt;"",$I216&lt;TODAY(),NOT(OR($O216="Ferdig",$O216="Korrekturlest"))),"OVERDUE","")</f>
        <v/>
      </c>
      <c r="T216" s="12" t="inlineStr">
        <is>
          <t>Middels</t>
        </is>
      </c>
      <c r="U216" s="12" t="inlineStr"/>
      <c r="V216" s="12" t="inlineStr"/>
      <c r="W216" s="12" t="inlineStr"/>
      <c r="X216" s="14" t="inlineStr"/>
    </row>
    <row r="217" ht="20" customHeight="1">
      <c r="A217" s="12" t="inlineStr"/>
      <c r="B217" s="12" t="inlineStr"/>
      <c r="C217" s="12" t="inlineStr"/>
      <c r="D217" s="12" t="inlineStr"/>
      <c r="E217" s="6" t="inlineStr"/>
      <c r="F217" s="13" t="inlineStr"/>
      <c r="G217" s="13" t="inlineStr"/>
      <c r="H217" s="14" t="inlineStr"/>
      <c r="I217" s="14" t="inlineStr"/>
      <c r="J217" s="14" t="inlineStr"/>
      <c r="K217" s="14" t="inlineStr"/>
      <c r="L217" s="12" t="inlineStr"/>
      <c r="M217" s="12" t="inlineStr"/>
      <c r="N217" s="12" t="inlineStr"/>
      <c r="O217" s="12">
        <f>IF($N217="x","Korrekturlest",IF($M217="x","Ferdig",IF($L217="x","Mest ferdig",IF($J217&lt;&gt;"","Pågår","Ikke startet"))))</f>
        <v/>
      </c>
      <c r="P217" s="12" t="inlineStr">
        <is>
          <t>Ikke sendt</t>
        </is>
      </c>
      <c r="Q217" s="15">
        <f>IF($D217="","",IFERROR(VLOOKUP($O217,Lists!$A$2:$B$6,2,FALSE),0))</f>
        <v/>
      </c>
      <c r="R217" s="16">
        <f>IF($I217="","",$I217-TODAY())</f>
        <v/>
      </c>
      <c r="S217" s="12">
        <f>IF(AND($I217&lt;&gt;"",$I217&lt;TODAY(),NOT(OR($O217="Ferdig",$O217="Korrekturlest"))),"OVERDUE","")</f>
        <v/>
      </c>
      <c r="T217" s="12" t="inlineStr">
        <is>
          <t>Middels</t>
        </is>
      </c>
      <c r="U217" s="12" t="inlineStr"/>
      <c r="V217" s="12" t="inlineStr"/>
      <c r="W217" s="12" t="inlineStr"/>
      <c r="X217" s="14" t="inlineStr"/>
    </row>
    <row r="218" ht="20" customHeight="1">
      <c r="A218" s="12" t="inlineStr"/>
      <c r="B218" s="12" t="inlineStr"/>
      <c r="C218" s="12" t="inlineStr"/>
      <c r="D218" s="12" t="inlineStr"/>
      <c r="E218" s="6" t="inlineStr"/>
      <c r="F218" s="13" t="inlineStr"/>
      <c r="G218" s="13" t="inlineStr"/>
      <c r="H218" s="14" t="inlineStr"/>
      <c r="I218" s="14" t="inlineStr"/>
      <c r="J218" s="14" t="inlineStr"/>
      <c r="K218" s="14" t="inlineStr"/>
      <c r="L218" s="12" t="inlineStr"/>
      <c r="M218" s="12" t="inlineStr"/>
      <c r="N218" s="12" t="inlineStr"/>
      <c r="O218" s="12">
        <f>IF($N218="x","Korrekturlest",IF($M218="x","Ferdig",IF($L218="x","Mest ferdig",IF($J218&lt;&gt;"","Pågår","Ikke startet"))))</f>
        <v/>
      </c>
      <c r="P218" s="12" t="inlineStr">
        <is>
          <t>Ikke sendt</t>
        </is>
      </c>
      <c r="Q218" s="15">
        <f>IF($D218="","",IFERROR(VLOOKUP($O218,Lists!$A$2:$B$6,2,FALSE),0))</f>
        <v/>
      </c>
      <c r="R218" s="16">
        <f>IF($I218="","",$I218-TODAY())</f>
        <v/>
      </c>
      <c r="S218" s="12">
        <f>IF(AND($I218&lt;&gt;"",$I218&lt;TODAY(),NOT(OR($O218="Ferdig",$O218="Korrekturlest"))),"OVERDUE","")</f>
        <v/>
      </c>
      <c r="T218" s="12" t="inlineStr">
        <is>
          <t>Middels</t>
        </is>
      </c>
      <c r="U218" s="12" t="inlineStr"/>
      <c r="V218" s="12" t="inlineStr"/>
      <c r="W218" s="12" t="inlineStr"/>
      <c r="X218" s="14" t="inlineStr"/>
    </row>
    <row r="219" ht="20" customHeight="1">
      <c r="A219" s="12" t="inlineStr"/>
      <c r="B219" s="12" t="inlineStr"/>
      <c r="C219" s="12" t="inlineStr"/>
      <c r="D219" s="12" t="inlineStr"/>
      <c r="E219" s="6" t="inlineStr"/>
      <c r="F219" s="13" t="inlineStr"/>
      <c r="G219" s="13" t="inlineStr"/>
      <c r="H219" s="14" t="inlineStr"/>
      <c r="I219" s="14" t="inlineStr"/>
      <c r="J219" s="14" t="inlineStr"/>
      <c r="K219" s="14" t="inlineStr"/>
      <c r="L219" s="12" t="inlineStr"/>
      <c r="M219" s="12" t="inlineStr"/>
      <c r="N219" s="12" t="inlineStr"/>
      <c r="O219" s="12">
        <f>IF($N219="x","Korrekturlest",IF($M219="x","Ferdig",IF($L219="x","Mest ferdig",IF($J219&lt;&gt;"","Pågår","Ikke startet"))))</f>
        <v/>
      </c>
      <c r="P219" s="12" t="inlineStr">
        <is>
          <t>Ikke sendt</t>
        </is>
      </c>
      <c r="Q219" s="15">
        <f>IF($D219="","",IFERROR(VLOOKUP($O219,Lists!$A$2:$B$6,2,FALSE),0))</f>
        <v/>
      </c>
      <c r="R219" s="16">
        <f>IF($I219="","",$I219-TODAY())</f>
        <v/>
      </c>
      <c r="S219" s="12">
        <f>IF(AND($I219&lt;&gt;"",$I219&lt;TODAY(),NOT(OR($O219="Ferdig",$O219="Korrekturlest"))),"OVERDUE","")</f>
        <v/>
      </c>
      <c r="T219" s="12" t="inlineStr">
        <is>
          <t>Middels</t>
        </is>
      </c>
      <c r="U219" s="12" t="inlineStr"/>
      <c r="V219" s="12" t="inlineStr"/>
      <c r="W219" s="12" t="inlineStr"/>
      <c r="X219" s="14" t="inlineStr"/>
    </row>
    <row r="220" ht="20" customHeight="1">
      <c r="A220" s="12" t="inlineStr"/>
      <c r="B220" s="12" t="inlineStr"/>
      <c r="C220" s="12" t="inlineStr"/>
      <c r="D220" s="12" t="inlineStr"/>
      <c r="E220" s="6" t="inlineStr"/>
      <c r="F220" s="13" t="inlineStr"/>
      <c r="G220" s="13" t="inlineStr"/>
      <c r="H220" s="14" t="inlineStr"/>
      <c r="I220" s="14" t="inlineStr"/>
      <c r="J220" s="14" t="inlineStr"/>
      <c r="K220" s="14" t="inlineStr"/>
      <c r="L220" s="12" t="inlineStr"/>
      <c r="M220" s="12" t="inlineStr"/>
      <c r="N220" s="12" t="inlineStr"/>
      <c r="O220" s="12">
        <f>IF($N220="x","Korrekturlest",IF($M220="x","Ferdig",IF($L220="x","Mest ferdig",IF($J220&lt;&gt;"","Pågår","Ikke startet"))))</f>
        <v/>
      </c>
      <c r="P220" s="12" t="inlineStr">
        <is>
          <t>Ikke sendt</t>
        </is>
      </c>
      <c r="Q220" s="15">
        <f>IF($D220="","",IFERROR(VLOOKUP($O220,Lists!$A$2:$B$6,2,FALSE),0))</f>
        <v/>
      </c>
      <c r="R220" s="16">
        <f>IF($I220="","",$I220-TODAY())</f>
        <v/>
      </c>
      <c r="S220" s="12">
        <f>IF(AND($I220&lt;&gt;"",$I220&lt;TODAY(),NOT(OR($O220="Ferdig",$O220="Korrekturlest"))),"OVERDUE","")</f>
        <v/>
      </c>
      <c r="T220" s="12" t="inlineStr">
        <is>
          <t>Middels</t>
        </is>
      </c>
      <c r="U220" s="12" t="inlineStr"/>
      <c r="V220" s="12" t="inlineStr"/>
      <c r="W220" s="12" t="inlineStr"/>
      <c r="X220" s="14" t="inlineStr"/>
    </row>
    <row r="221" ht="20" customHeight="1">
      <c r="A221" s="12" t="inlineStr"/>
      <c r="B221" s="12" t="inlineStr"/>
      <c r="C221" s="12" t="inlineStr"/>
      <c r="D221" s="12" t="inlineStr"/>
      <c r="E221" s="6" t="inlineStr"/>
      <c r="F221" s="13" t="inlineStr"/>
      <c r="G221" s="13" t="inlineStr"/>
      <c r="H221" s="14" t="inlineStr"/>
      <c r="I221" s="14" t="inlineStr"/>
      <c r="J221" s="14" t="inlineStr"/>
      <c r="K221" s="14" t="inlineStr"/>
      <c r="L221" s="12" t="inlineStr"/>
      <c r="M221" s="12" t="inlineStr"/>
      <c r="N221" s="12" t="inlineStr"/>
      <c r="O221" s="12">
        <f>IF($N221="x","Korrekturlest",IF($M221="x","Ferdig",IF($L221="x","Mest ferdig",IF($J221&lt;&gt;"","Pågår","Ikke startet"))))</f>
        <v/>
      </c>
      <c r="P221" s="12" t="inlineStr">
        <is>
          <t>Ikke sendt</t>
        </is>
      </c>
      <c r="Q221" s="15">
        <f>IF($D221="","",IFERROR(VLOOKUP($O221,Lists!$A$2:$B$6,2,FALSE),0))</f>
        <v/>
      </c>
      <c r="R221" s="16">
        <f>IF($I221="","",$I221-TODAY())</f>
        <v/>
      </c>
      <c r="S221" s="12">
        <f>IF(AND($I221&lt;&gt;"",$I221&lt;TODAY(),NOT(OR($O221="Ferdig",$O221="Korrekturlest"))),"OVERDUE","")</f>
        <v/>
      </c>
      <c r="T221" s="12" t="inlineStr">
        <is>
          <t>Middels</t>
        </is>
      </c>
      <c r="U221" s="12" t="inlineStr"/>
      <c r="V221" s="12" t="inlineStr"/>
      <c r="W221" s="12" t="inlineStr"/>
      <c r="X221" s="14" t="inlineStr"/>
    </row>
    <row r="222" ht="20" customHeight="1">
      <c r="A222" s="12" t="inlineStr"/>
      <c r="B222" s="12" t="inlineStr"/>
      <c r="C222" s="12" t="inlineStr"/>
      <c r="D222" s="12" t="inlineStr"/>
      <c r="E222" s="6" t="inlineStr"/>
      <c r="F222" s="13" t="inlineStr"/>
      <c r="G222" s="13" t="inlineStr"/>
      <c r="H222" s="14" t="inlineStr"/>
      <c r="I222" s="14" t="inlineStr"/>
      <c r="J222" s="14" t="inlineStr"/>
      <c r="K222" s="14" t="inlineStr"/>
      <c r="L222" s="12" t="inlineStr"/>
      <c r="M222" s="12" t="inlineStr"/>
      <c r="N222" s="12" t="inlineStr"/>
      <c r="O222" s="12">
        <f>IF($N222="x","Korrekturlest",IF($M222="x","Ferdig",IF($L222="x","Mest ferdig",IF($J222&lt;&gt;"","Pågår","Ikke startet"))))</f>
        <v/>
      </c>
      <c r="P222" s="12" t="inlineStr">
        <is>
          <t>Ikke sendt</t>
        </is>
      </c>
      <c r="Q222" s="15">
        <f>IF($D222="","",IFERROR(VLOOKUP($O222,Lists!$A$2:$B$6,2,FALSE),0))</f>
        <v/>
      </c>
      <c r="R222" s="16">
        <f>IF($I222="","",$I222-TODAY())</f>
        <v/>
      </c>
      <c r="S222" s="12">
        <f>IF(AND($I222&lt;&gt;"",$I222&lt;TODAY(),NOT(OR($O222="Ferdig",$O222="Korrekturlest"))),"OVERDUE","")</f>
        <v/>
      </c>
      <c r="T222" s="12" t="inlineStr">
        <is>
          <t>Middels</t>
        </is>
      </c>
      <c r="U222" s="12" t="inlineStr"/>
      <c r="V222" s="12" t="inlineStr"/>
      <c r="W222" s="12" t="inlineStr"/>
      <c r="X222" s="14" t="inlineStr"/>
    </row>
    <row r="223" ht="20" customHeight="1">
      <c r="A223" s="12" t="inlineStr"/>
      <c r="B223" s="12" t="inlineStr"/>
      <c r="C223" s="12" t="inlineStr"/>
      <c r="D223" s="12" t="inlineStr"/>
      <c r="E223" s="6" t="inlineStr"/>
      <c r="F223" s="13" t="inlineStr"/>
      <c r="G223" s="13" t="inlineStr"/>
      <c r="H223" s="14" t="inlineStr"/>
      <c r="I223" s="14" t="inlineStr"/>
      <c r="J223" s="14" t="inlineStr"/>
      <c r="K223" s="14" t="inlineStr"/>
      <c r="L223" s="12" t="inlineStr"/>
      <c r="M223" s="12" t="inlineStr"/>
      <c r="N223" s="12" t="inlineStr"/>
      <c r="O223" s="12">
        <f>IF($N223="x","Korrekturlest",IF($M223="x","Ferdig",IF($L223="x","Mest ferdig",IF($J223&lt;&gt;"","Pågår","Ikke startet"))))</f>
        <v/>
      </c>
      <c r="P223" s="12" t="inlineStr">
        <is>
          <t>Ikke sendt</t>
        </is>
      </c>
      <c r="Q223" s="15">
        <f>IF($D223="","",IFERROR(VLOOKUP($O223,Lists!$A$2:$B$6,2,FALSE),0))</f>
        <v/>
      </c>
      <c r="R223" s="16">
        <f>IF($I223="","",$I223-TODAY())</f>
        <v/>
      </c>
      <c r="S223" s="12">
        <f>IF(AND($I223&lt;&gt;"",$I223&lt;TODAY(),NOT(OR($O223="Ferdig",$O223="Korrekturlest"))),"OVERDUE","")</f>
        <v/>
      </c>
      <c r="T223" s="12" t="inlineStr">
        <is>
          <t>Middels</t>
        </is>
      </c>
      <c r="U223" s="12" t="inlineStr"/>
      <c r="V223" s="12" t="inlineStr"/>
      <c r="W223" s="12" t="inlineStr"/>
      <c r="X223" s="14" t="inlineStr"/>
    </row>
    <row r="224" ht="20" customHeight="1">
      <c r="A224" s="12" t="inlineStr"/>
      <c r="B224" s="12" t="inlineStr"/>
      <c r="C224" s="12" t="inlineStr"/>
      <c r="D224" s="12" t="inlineStr"/>
      <c r="E224" s="6" t="inlineStr"/>
      <c r="F224" s="13" t="inlineStr"/>
      <c r="G224" s="13" t="inlineStr"/>
      <c r="H224" s="14" t="inlineStr"/>
      <c r="I224" s="14" t="inlineStr"/>
      <c r="J224" s="14" t="inlineStr"/>
      <c r="K224" s="14" t="inlineStr"/>
      <c r="L224" s="12" t="inlineStr"/>
      <c r="M224" s="12" t="inlineStr"/>
      <c r="N224" s="12" t="inlineStr"/>
      <c r="O224" s="12">
        <f>IF($N224="x","Korrekturlest",IF($M224="x","Ferdig",IF($L224="x","Mest ferdig",IF($J224&lt;&gt;"","Pågår","Ikke startet"))))</f>
        <v/>
      </c>
      <c r="P224" s="12" t="inlineStr">
        <is>
          <t>Ikke sendt</t>
        </is>
      </c>
      <c r="Q224" s="15">
        <f>IF($D224="","",IFERROR(VLOOKUP($O224,Lists!$A$2:$B$6,2,FALSE),0))</f>
        <v/>
      </c>
      <c r="R224" s="16">
        <f>IF($I224="","",$I224-TODAY())</f>
        <v/>
      </c>
      <c r="S224" s="12">
        <f>IF(AND($I224&lt;&gt;"",$I224&lt;TODAY(),NOT(OR($O224="Ferdig",$O224="Korrekturlest"))),"OVERDUE","")</f>
        <v/>
      </c>
      <c r="T224" s="12" t="inlineStr">
        <is>
          <t>Middels</t>
        </is>
      </c>
      <c r="U224" s="12" t="inlineStr"/>
      <c r="V224" s="12" t="inlineStr"/>
      <c r="W224" s="12" t="inlineStr"/>
      <c r="X224" s="14" t="inlineStr"/>
    </row>
    <row r="225" ht="20" customHeight="1">
      <c r="A225" s="12" t="inlineStr"/>
      <c r="B225" s="12" t="inlineStr"/>
      <c r="C225" s="12" t="inlineStr"/>
      <c r="D225" s="12" t="inlineStr"/>
      <c r="E225" s="6" t="inlineStr"/>
      <c r="F225" s="13" t="inlineStr"/>
      <c r="G225" s="13" t="inlineStr"/>
      <c r="H225" s="14" t="inlineStr"/>
      <c r="I225" s="14" t="inlineStr"/>
      <c r="J225" s="14" t="inlineStr"/>
      <c r="K225" s="14" t="inlineStr"/>
      <c r="L225" s="12" t="inlineStr"/>
      <c r="M225" s="12" t="inlineStr"/>
      <c r="N225" s="12" t="inlineStr"/>
      <c r="O225" s="12">
        <f>IF($N225="x","Korrekturlest",IF($M225="x","Ferdig",IF($L225="x","Mest ferdig",IF($J225&lt;&gt;"","Pågår","Ikke startet"))))</f>
        <v/>
      </c>
      <c r="P225" s="12" t="inlineStr">
        <is>
          <t>Ikke sendt</t>
        </is>
      </c>
      <c r="Q225" s="15">
        <f>IF($D225="","",IFERROR(VLOOKUP($O225,Lists!$A$2:$B$6,2,FALSE),0))</f>
        <v/>
      </c>
      <c r="R225" s="16">
        <f>IF($I225="","",$I225-TODAY())</f>
        <v/>
      </c>
      <c r="S225" s="12">
        <f>IF(AND($I225&lt;&gt;"",$I225&lt;TODAY(),NOT(OR($O225="Ferdig",$O225="Korrekturlest"))),"OVERDUE","")</f>
        <v/>
      </c>
      <c r="T225" s="12" t="inlineStr">
        <is>
          <t>Middels</t>
        </is>
      </c>
      <c r="U225" s="12" t="inlineStr"/>
      <c r="V225" s="12" t="inlineStr"/>
      <c r="W225" s="12" t="inlineStr"/>
      <c r="X225" s="14" t="inlineStr"/>
    </row>
    <row r="226" ht="20" customHeight="1">
      <c r="A226" s="12" t="inlineStr"/>
      <c r="B226" s="12" t="inlineStr"/>
      <c r="C226" s="12" t="inlineStr"/>
      <c r="D226" s="12" t="inlineStr"/>
      <c r="E226" s="6" t="inlineStr"/>
      <c r="F226" s="13" t="inlineStr"/>
      <c r="G226" s="13" t="inlineStr"/>
      <c r="H226" s="14" t="inlineStr"/>
      <c r="I226" s="14" t="inlineStr"/>
      <c r="J226" s="14" t="inlineStr"/>
      <c r="K226" s="14" t="inlineStr"/>
      <c r="L226" s="12" t="inlineStr"/>
      <c r="M226" s="12" t="inlineStr"/>
      <c r="N226" s="12" t="inlineStr"/>
      <c r="O226" s="12">
        <f>IF($N226="x","Korrekturlest",IF($M226="x","Ferdig",IF($L226="x","Mest ferdig",IF($J226&lt;&gt;"","Pågår","Ikke startet"))))</f>
        <v/>
      </c>
      <c r="P226" s="12" t="inlineStr">
        <is>
          <t>Ikke sendt</t>
        </is>
      </c>
      <c r="Q226" s="15">
        <f>IF($D226="","",IFERROR(VLOOKUP($O226,Lists!$A$2:$B$6,2,FALSE),0))</f>
        <v/>
      </c>
      <c r="R226" s="16">
        <f>IF($I226="","",$I226-TODAY())</f>
        <v/>
      </c>
      <c r="S226" s="12">
        <f>IF(AND($I226&lt;&gt;"",$I226&lt;TODAY(),NOT(OR($O226="Ferdig",$O226="Korrekturlest"))),"OVERDUE","")</f>
        <v/>
      </c>
      <c r="T226" s="12" t="inlineStr">
        <is>
          <t>Middels</t>
        </is>
      </c>
      <c r="U226" s="12" t="inlineStr"/>
      <c r="V226" s="12" t="inlineStr"/>
      <c r="W226" s="12" t="inlineStr"/>
      <c r="X226" s="14" t="inlineStr"/>
    </row>
    <row r="227" ht="20" customHeight="1">
      <c r="A227" s="12" t="inlineStr"/>
      <c r="B227" s="12" t="inlineStr"/>
      <c r="C227" s="12" t="inlineStr"/>
      <c r="D227" s="12" t="inlineStr"/>
      <c r="E227" s="6" t="inlineStr"/>
      <c r="F227" s="13" t="inlineStr"/>
      <c r="G227" s="13" t="inlineStr"/>
      <c r="H227" s="14" t="inlineStr"/>
      <c r="I227" s="14" t="inlineStr"/>
      <c r="J227" s="14" t="inlineStr"/>
      <c r="K227" s="14" t="inlineStr"/>
      <c r="L227" s="12" t="inlineStr"/>
      <c r="M227" s="12" t="inlineStr"/>
      <c r="N227" s="12" t="inlineStr"/>
      <c r="O227" s="12">
        <f>IF($N227="x","Korrekturlest",IF($M227="x","Ferdig",IF($L227="x","Mest ferdig",IF($J227&lt;&gt;"","Pågår","Ikke startet"))))</f>
        <v/>
      </c>
      <c r="P227" s="12" t="inlineStr">
        <is>
          <t>Ikke sendt</t>
        </is>
      </c>
      <c r="Q227" s="15">
        <f>IF($D227="","",IFERROR(VLOOKUP($O227,Lists!$A$2:$B$6,2,FALSE),0))</f>
        <v/>
      </c>
      <c r="R227" s="16">
        <f>IF($I227="","",$I227-TODAY())</f>
        <v/>
      </c>
      <c r="S227" s="12">
        <f>IF(AND($I227&lt;&gt;"",$I227&lt;TODAY(),NOT(OR($O227="Ferdig",$O227="Korrekturlest"))),"OVERDUE","")</f>
        <v/>
      </c>
      <c r="T227" s="12" t="inlineStr">
        <is>
          <t>Middels</t>
        </is>
      </c>
      <c r="U227" s="12" t="inlineStr"/>
      <c r="V227" s="12" t="inlineStr"/>
      <c r="W227" s="12" t="inlineStr"/>
      <c r="X227" s="14" t="inlineStr"/>
    </row>
    <row r="228" ht="20" customHeight="1">
      <c r="A228" s="12" t="inlineStr"/>
      <c r="B228" s="12" t="inlineStr"/>
      <c r="C228" s="12" t="inlineStr"/>
      <c r="D228" s="12" t="inlineStr"/>
      <c r="E228" s="6" t="inlineStr"/>
      <c r="F228" s="13" t="inlineStr"/>
      <c r="G228" s="13" t="inlineStr"/>
      <c r="H228" s="14" t="inlineStr"/>
      <c r="I228" s="14" t="inlineStr"/>
      <c r="J228" s="14" t="inlineStr"/>
      <c r="K228" s="14" t="inlineStr"/>
      <c r="L228" s="12" t="inlineStr"/>
      <c r="M228" s="12" t="inlineStr"/>
      <c r="N228" s="12" t="inlineStr"/>
      <c r="O228" s="12">
        <f>IF($N228="x","Korrekturlest",IF($M228="x","Ferdig",IF($L228="x","Mest ferdig",IF($J228&lt;&gt;"","Pågår","Ikke startet"))))</f>
        <v/>
      </c>
      <c r="P228" s="12" t="inlineStr">
        <is>
          <t>Ikke sendt</t>
        </is>
      </c>
      <c r="Q228" s="15">
        <f>IF($D228="","",IFERROR(VLOOKUP($O228,Lists!$A$2:$B$6,2,FALSE),0))</f>
        <v/>
      </c>
      <c r="R228" s="16">
        <f>IF($I228="","",$I228-TODAY())</f>
        <v/>
      </c>
      <c r="S228" s="12">
        <f>IF(AND($I228&lt;&gt;"",$I228&lt;TODAY(),NOT(OR($O228="Ferdig",$O228="Korrekturlest"))),"OVERDUE","")</f>
        <v/>
      </c>
      <c r="T228" s="12" t="inlineStr">
        <is>
          <t>Middels</t>
        </is>
      </c>
      <c r="U228" s="12" t="inlineStr"/>
      <c r="V228" s="12" t="inlineStr"/>
      <c r="W228" s="12" t="inlineStr"/>
      <c r="X228" s="14" t="inlineStr"/>
    </row>
    <row r="229" ht="20" customHeight="1">
      <c r="A229" s="12" t="inlineStr"/>
      <c r="B229" s="12" t="inlineStr"/>
      <c r="C229" s="12" t="inlineStr"/>
      <c r="D229" s="12" t="inlineStr"/>
      <c r="E229" s="6" t="inlineStr"/>
      <c r="F229" s="13" t="inlineStr"/>
      <c r="G229" s="13" t="inlineStr"/>
      <c r="H229" s="14" t="inlineStr"/>
      <c r="I229" s="14" t="inlineStr"/>
      <c r="J229" s="14" t="inlineStr"/>
      <c r="K229" s="14" t="inlineStr"/>
      <c r="L229" s="12" t="inlineStr"/>
      <c r="M229" s="12" t="inlineStr"/>
      <c r="N229" s="12" t="inlineStr"/>
      <c r="O229" s="12">
        <f>IF($N229="x","Korrekturlest",IF($M229="x","Ferdig",IF($L229="x","Mest ferdig",IF($J229&lt;&gt;"","Pågår","Ikke startet"))))</f>
        <v/>
      </c>
      <c r="P229" s="12" t="inlineStr">
        <is>
          <t>Ikke sendt</t>
        </is>
      </c>
      <c r="Q229" s="15">
        <f>IF($D229="","",IFERROR(VLOOKUP($O229,Lists!$A$2:$B$6,2,FALSE),0))</f>
        <v/>
      </c>
      <c r="R229" s="16">
        <f>IF($I229="","",$I229-TODAY())</f>
        <v/>
      </c>
      <c r="S229" s="12">
        <f>IF(AND($I229&lt;&gt;"",$I229&lt;TODAY(),NOT(OR($O229="Ferdig",$O229="Korrekturlest"))),"OVERDUE","")</f>
        <v/>
      </c>
      <c r="T229" s="12" t="inlineStr">
        <is>
          <t>Middels</t>
        </is>
      </c>
      <c r="U229" s="12" t="inlineStr"/>
      <c r="V229" s="12" t="inlineStr"/>
      <c r="W229" s="12" t="inlineStr"/>
      <c r="X229" s="14" t="inlineStr"/>
    </row>
    <row r="230" ht="20" customHeight="1">
      <c r="A230" s="12" t="inlineStr"/>
      <c r="B230" s="12" t="inlineStr"/>
      <c r="C230" s="12" t="inlineStr"/>
      <c r="D230" s="12" t="inlineStr"/>
      <c r="E230" s="6" t="inlineStr"/>
      <c r="F230" s="13" t="inlineStr"/>
      <c r="G230" s="13" t="inlineStr"/>
      <c r="H230" s="14" t="inlineStr"/>
      <c r="I230" s="14" t="inlineStr"/>
      <c r="J230" s="14" t="inlineStr"/>
      <c r="K230" s="14" t="inlineStr"/>
      <c r="L230" s="12" t="inlineStr"/>
      <c r="M230" s="12" t="inlineStr"/>
      <c r="N230" s="12" t="inlineStr"/>
      <c r="O230" s="12">
        <f>IF($N230="x","Korrekturlest",IF($M230="x","Ferdig",IF($L230="x","Mest ferdig",IF($J230&lt;&gt;"","Pågår","Ikke startet"))))</f>
        <v/>
      </c>
      <c r="P230" s="12" t="inlineStr">
        <is>
          <t>Ikke sendt</t>
        </is>
      </c>
      <c r="Q230" s="15">
        <f>IF($D230="","",IFERROR(VLOOKUP($O230,Lists!$A$2:$B$6,2,FALSE),0))</f>
        <v/>
      </c>
      <c r="R230" s="16">
        <f>IF($I230="","",$I230-TODAY())</f>
        <v/>
      </c>
      <c r="S230" s="12">
        <f>IF(AND($I230&lt;&gt;"",$I230&lt;TODAY(),NOT(OR($O230="Ferdig",$O230="Korrekturlest"))),"OVERDUE","")</f>
        <v/>
      </c>
      <c r="T230" s="12" t="inlineStr">
        <is>
          <t>Middels</t>
        </is>
      </c>
      <c r="U230" s="12" t="inlineStr"/>
      <c r="V230" s="12" t="inlineStr"/>
      <c r="W230" s="12" t="inlineStr"/>
      <c r="X230" s="14" t="inlineStr"/>
    </row>
    <row r="231" ht="20" customHeight="1">
      <c r="A231" s="12" t="inlineStr"/>
      <c r="B231" s="12" t="inlineStr"/>
      <c r="C231" s="12" t="inlineStr"/>
      <c r="D231" s="12" t="inlineStr"/>
      <c r="E231" s="6" t="inlineStr"/>
      <c r="F231" s="13" t="inlineStr"/>
      <c r="G231" s="13" t="inlineStr"/>
      <c r="H231" s="14" t="inlineStr"/>
      <c r="I231" s="14" t="inlineStr"/>
      <c r="J231" s="14" t="inlineStr"/>
      <c r="K231" s="14" t="inlineStr"/>
      <c r="L231" s="12" t="inlineStr"/>
      <c r="M231" s="12" t="inlineStr"/>
      <c r="N231" s="12" t="inlineStr"/>
      <c r="O231" s="12">
        <f>IF($N231="x","Korrekturlest",IF($M231="x","Ferdig",IF($L231="x","Mest ferdig",IF($J231&lt;&gt;"","Pågår","Ikke startet"))))</f>
        <v/>
      </c>
      <c r="P231" s="12" t="inlineStr">
        <is>
          <t>Ikke sendt</t>
        </is>
      </c>
      <c r="Q231" s="15">
        <f>IF($D231="","",IFERROR(VLOOKUP($O231,Lists!$A$2:$B$6,2,FALSE),0))</f>
        <v/>
      </c>
      <c r="R231" s="16">
        <f>IF($I231="","",$I231-TODAY())</f>
        <v/>
      </c>
      <c r="S231" s="12">
        <f>IF(AND($I231&lt;&gt;"",$I231&lt;TODAY(),NOT(OR($O231="Ferdig",$O231="Korrekturlest"))),"OVERDUE","")</f>
        <v/>
      </c>
      <c r="T231" s="12" t="inlineStr">
        <is>
          <t>Middels</t>
        </is>
      </c>
      <c r="U231" s="12" t="inlineStr"/>
      <c r="V231" s="12" t="inlineStr"/>
      <c r="W231" s="12" t="inlineStr"/>
      <c r="X231" s="14" t="inlineStr"/>
    </row>
    <row r="232" ht="20" customHeight="1">
      <c r="A232" s="12" t="inlineStr"/>
      <c r="B232" s="12" t="inlineStr"/>
      <c r="C232" s="12" t="inlineStr"/>
      <c r="D232" s="12" t="inlineStr"/>
      <c r="E232" s="6" t="inlineStr"/>
      <c r="F232" s="13" t="inlineStr"/>
      <c r="G232" s="13" t="inlineStr"/>
      <c r="H232" s="14" t="inlineStr"/>
      <c r="I232" s="14" t="inlineStr"/>
      <c r="J232" s="14" t="inlineStr"/>
      <c r="K232" s="14" t="inlineStr"/>
      <c r="L232" s="12" t="inlineStr"/>
      <c r="M232" s="12" t="inlineStr"/>
      <c r="N232" s="12" t="inlineStr"/>
      <c r="O232" s="12">
        <f>IF($N232="x","Korrekturlest",IF($M232="x","Ferdig",IF($L232="x","Mest ferdig",IF($J232&lt;&gt;"","Pågår","Ikke startet"))))</f>
        <v/>
      </c>
      <c r="P232" s="12" t="inlineStr">
        <is>
          <t>Ikke sendt</t>
        </is>
      </c>
      <c r="Q232" s="15">
        <f>IF($D232="","",IFERROR(VLOOKUP($O232,Lists!$A$2:$B$6,2,FALSE),0))</f>
        <v/>
      </c>
      <c r="R232" s="16">
        <f>IF($I232="","",$I232-TODAY())</f>
        <v/>
      </c>
      <c r="S232" s="12">
        <f>IF(AND($I232&lt;&gt;"",$I232&lt;TODAY(),NOT(OR($O232="Ferdig",$O232="Korrekturlest"))),"OVERDUE","")</f>
        <v/>
      </c>
      <c r="T232" s="12" t="inlineStr">
        <is>
          <t>Middels</t>
        </is>
      </c>
      <c r="U232" s="12" t="inlineStr"/>
      <c r="V232" s="12" t="inlineStr"/>
      <c r="W232" s="12" t="inlineStr"/>
      <c r="X232" s="14" t="inlineStr"/>
    </row>
    <row r="233" ht="20" customHeight="1">
      <c r="A233" s="12" t="inlineStr"/>
      <c r="B233" s="12" t="inlineStr"/>
      <c r="C233" s="12" t="inlineStr"/>
      <c r="D233" s="12" t="inlineStr"/>
      <c r="E233" s="6" t="inlineStr"/>
      <c r="F233" s="13" t="inlineStr"/>
      <c r="G233" s="13" t="inlineStr"/>
      <c r="H233" s="14" t="inlineStr"/>
      <c r="I233" s="14" t="inlineStr"/>
      <c r="J233" s="14" t="inlineStr"/>
      <c r="K233" s="14" t="inlineStr"/>
      <c r="L233" s="12" t="inlineStr"/>
      <c r="M233" s="12" t="inlineStr"/>
      <c r="N233" s="12" t="inlineStr"/>
      <c r="O233" s="12">
        <f>IF($N233="x","Korrekturlest",IF($M233="x","Ferdig",IF($L233="x","Mest ferdig",IF($J233&lt;&gt;"","Pågår","Ikke startet"))))</f>
        <v/>
      </c>
      <c r="P233" s="12" t="inlineStr">
        <is>
          <t>Ikke sendt</t>
        </is>
      </c>
      <c r="Q233" s="15">
        <f>IF($D233="","",IFERROR(VLOOKUP($O233,Lists!$A$2:$B$6,2,FALSE),0))</f>
        <v/>
      </c>
      <c r="R233" s="16">
        <f>IF($I233="","",$I233-TODAY())</f>
        <v/>
      </c>
      <c r="S233" s="12">
        <f>IF(AND($I233&lt;&gt;"",$I233&lt;TODAY(),NOT(OR($O233="Ferdig",$O233="Korrekturlest"))),"OVERDUE","")</f>
        <v/>
      </c>
      <c r="T233" s="12" t="inlineStr">
        <is>
          <t>Middels</t>
        </is>
      </c>
      <c r="U233" s="12" t="inlineStr"/>
      <c r="V233" s="12" t="inlineStr"/>
      <c r="W233" s="12" t="inlineStr"/>
      <c r="X233" s="14" t="inlineStr"/>
    </row>
    <row r="234" ht="20" customHeight="1">
      <c r="A234" s="12" t="inlineStr"/>
      <c r="B234" s="12" t="inlineStr"/>
      <c r="C234" s="12" t="inlineStr"/>
      <c r="D234" s="12" t="inlineStr"/>
      <c r="E234" s="6" t="inlineStr"/>
      <c r="F234" s="13" t="inlineStr"/>
      <c r="G234" s="13" t="inlineStr"/>
      <c r="H234" s="14" t="inlineStr"/>
      <c r="I234" s="14" t="inlineStr"/>
      <c r="J234" s="14" t="inlineStr"/>
      <c r="K234" s="14" t="inlineStr"/>
      <c r="L234" s="12" t="inlineStr"/>
      <c r="M234" s="12" t="inlineStr"/>
      <c r="N234" s="12" t="inlineStr"/>
      <c r="O234" s="12">
        <f>IF($N234="x","Korrekturlest",IF($M234="x","Ferdig",IF($L234="x","Mest ferdig",IF($J234&lt;&gt;"","Pågår","Ikke startet"))))</f>
        <v/>
      </c>
      <c r="P234" s="12" t="inlineStr">
        <is>
          <t>Ikke sendt</t>
        </is>
      </c>
      <c r="Q234" s="15">
        <f>IF($D234="","",IFERROR(VLOOKUP($O234,Lists!$A$2:$B$6,2,FALSE),0))</f>
        <v/>
      </c>
      <c r="R234" s="16">
        <f>IF($I234="","",$I234-TODAY())</f>
        <v/>
      </c>
      <c r="S234" s="12">
        <f>IF(AND($I234&lt;&gt;"",$I234&lt;TODAY(),NOT(OR($O234="Ferdig",$O234="Korrekturlest"))),"OVERDUE","")</f>
        <v/>
      </c>
      <c r="T234" s="12" t="inlineStr">
        <is>
          <t>Middels</t>
        </is>
      </c>
      <c r="U234" s="12" t="inlineStr"/>
      <c r="V234" s="12" t="inlineStr"/>
      <c r="W234" s="12" t="inlineStr"/>
      <c r="X234" s="14" t="inlineStr"/>
    </row>
    <row r="235" ht="20" customHeight="1">
      <c r="A235" s="12" t="inlineStr"/>
      <c r="B235" s="12" t="inlineStr"/>
      <c r="C235" s="12" t="inlineStr"/>
      <c r="D235" s="12" t="inlineStr"/>
      <c r="E235" s="6" t="inlineStr"/>
      <c r="F235" s="13" t="inlineStr"/>
      <c r="G235" s="13" t="inlineStr"/>
      <c r="H235" s="14" t="inlineStr"/>
      <c r="I235" s="14" t="inlineStr"/>
      <c r="J235" s="14" t="inlineStr"/>
      <c r="K235" s="14" t="inlineStr"/>
      <c r="L235" s="12" t="inlineStr"/>
      <c r="M235" s="12" t="inlineStr"/>
      <c r="N235" s="12" t="inlineStr"/>
      <c r="O235" s="12">
        <f>IF($N235="x","Korrekturlest",IF($M235="x","Ferdig",IF($L235="x","Mest ferdig",IF($J235&lt;&gt;"","Pågår","Ikke startet"))))</f>
        <v/>
      </c>
      <c r="P235" s="12" t="inlineStr">
        <is>
          <t>Ikke sendt</t>
        </is>
      </c>
      <c r="Q235" s="15">
        <f>IF($D235="","",IFERROR(VLOOKUP($O235,Lists!$A$2:$B$6,2,FALSE),0))</f>
        <v/>
      </c>
      <c r="R235" s="16">
        <f>IF($I235="","",$I235-TODAY())</f>
        <v/>
      </c>
      <c r="S235" s="12">
        <f>IF(AND($I235&lt;&gt;"",$I235&lt;TODAY(),NOT(OR($O235="Ferdig",$O235="Korrekturlest"))),"OVERDUE","")</f>
        <v/>
      </c>
      <c r="T235" s="12" t="inlineStr">
        <is>
          <t>Middels</t>
        </is>
      </c>
      <c r="U235" s="12" t="inlineStr"/>
      <c r="V235" s="12" t="inlineStr"/>
      <c r="W235" s="12" t="inlineStr"/>
      <c r="X235" s="14" t="inlineStr"/>
    </row>
    <row r="236" ht="20" customHeight="1">
      <c r="A236" s="12" t="inlineStr"/>
      <c r="B236" s="12" t="inlineStr"/>
      <c r="C236" s="12" t="inlineStr"/>
      <c r="D236" s="12" t="inlineStr"/>
      <c r="E236" s="6" t="inlineStr"/>
      <c r="F236" s="13" t="inlineStr"/>
      <c r="G236" s="13" t="inlineStr"/>
      <c r="H236" s="14" t="inlineStr"/>
      <c r="I236" s="14" t="inlineStr"/>
      <c r="J236" s="14" t="inlineStr"/>
      <c r="K236" s="14" t="inlineStr"/>
      <c r="L236" s="12" t="inlineStr"/>
      <c r="M236" s="12" t="inlineStr"/>
      <c r="N236" s="12" t="inlineStr"/>
      <c r="O236" s="12">
        <f>IF($N236="x","Korrekturlest",IF($M236="x","Ferdig",IF($L236="x","Mest ferdig",IF($J236&lt;&gt;"","Pågår","Ikke startet"))))</f>
        <v/>
      </c>
      <c r="P236" s="12" t="inlineStr">
        <is>
          <t>Ikke sendt</t>
        </is>
      </c>
      <c r="Q236" s="15">
        <f>IF($D236="","",IFERROR(VLOOKUP($O236,Lists!$A$2:$B$6,2,FALSE),0))</f>
        <v/>
      </c>
      <c r="R236" s="16">
        <f>IF($I236="","",$I236-TODAY())</f>
        <v/>
      </c>
      <c r="S236" s="12">
        <f>IF(AND($I236&lt;&gt;"",$I236&lt;TODAY(),NOT(OR($O236="Ferdig",$O236="Korrekturlest"))),"OVERDUE","")</f>
        <v/>
      </c>
      <c r="T236" s="12" t="inlineStr">
        <is>
          <t>Middels</t>
        </is>
      </c>
      <c r="U236" s="12" t="inlineStr"/>
      <c r="V236" s="12" t="inlineStr"/>
      <c r="W236" s="12" t="inlineStr"/>
      <c r="X236" s="14" t="inlineStr"/>
    </row>
    <row r="237" ht="20" customHeight="1">
      <c r="A237" s="12" t="inlineStr"/>
      <c r="B237" s="12" t="inlineStr"/>
      <c r="C237" s="12" t="inlineStr"/>
      <c r="D237" s="12" t="inlineStr"/>
      <c r="E237" s="6" t="inlineStr"/>
      <c r="F237" s="13" t="inlineStr"/>
      <c r="G237" s="13" t="inlineStr"/>
      <c r="H237" s="14" t="inlineStr"/>
      <c r="I237" s="14" t="inlineStr"/>
      <c r="J237" s="14" t="inlineStr"/>
      <c r="K237" s="14" t="inlineStr"/>
      <c r="L237" s="12" t="inlineStr"/>
      <c r="M237" s="12" t="inlineStr"/>
      <c r="N237" s="12" t="inlineStr"/>
      <c r="O237" s="12">
        <f>IF($N237="x","Korrekturlest",IF($M237="x","Ferdig",IF($L237="x","Mest ferdig",IF($J237&lt;&gt;"","Pågår","Ikke startet"))))</f>
        <v/>
      </c>
      <c r="P237" s="12" t="inlineStr">
        <is>
          <t>Ikke sendt</t>
        </is>
      </c>
      <c r="Q237" s="15">
        <f>IF($D237="","",IFERROR(VLOOKUP($O237,Lists!$A$2:$B$6,2,FALSE),0))</f>
        <v/>
      </c>
      <c r="R237" s="16">
        <f>IF($I237="","",$I237-TODAY())</f>
        <v/>
      </c>
      <c r="S237" s="12">
        <f>IF(AND($I237&lt;&gt;"",$I237&lt;TODAY(),NOT(OR($O237="Ferdig",$O237="Korrekturlest"))),"OVERDUE","")</f>
        <v/>
      </c>
      <c r="T237" s="12" t="inlineStr">
        <is>
          <t>Middels</t>
        </is>
      </c>
      <c r="U237" s="12" t="inlineStr"/>
      <c r="V237" s="12" t="inlineStr"/>
      <c r="W237" s="12" t="inlineStr"/>
      <c r="X237" s="14" t="inlineStr"/>
    </row>
    <row r="238" ht="20" customHeight="1">
      <c r="A238" s="12" t="inlineStr"/>
      <c r="B238" s="12" t="inlineStr"/>
      <c r="C238" s="12" t="inlineStr"/>
      <c r="D238" s="12" t="inlineStr"/>
      <c r="E238" s="6" t="inlineStr"/>
      <c r="F238" s="13" t="inlineStr"/>
      <c r="G238" s="13" t="inlineStr"/>
      <c r="H238" s="14" t="inlineStr"/>
      <c r="I238" s="14" t="inlineStr"/>
      <c r="J238" s="14" t="inlineStr"/>
      <c r="K238" s="14" t="inlineStr"/>
      <c r="L238" s="12" t="inlineStr"/>
      <c r="M238" s="12" t="inlineStr"/>
      <c r="N238" s="12" t="inlineStr"/>
      <c r="O238" s="12">
        <f>IF($N238="x","Korrekturlest",IF($M238="x","Ferdig",IF($L238="x","Mest ferdig",IF($J238&lt;&gt;"","Pågår","Ikke startet"))))</f>
        <v/>
      </c>
      <c r="P238" s="12" t="inlineStr">
        <is>
          <t>Ikke sendt</t>
        </is>
      </c>
      <c r="Q238" s="15">
        <f>IF($D238="","",IFERROR(VLOOKUP($O238,Lists!$A$2:$B$6,2,FALSE),0))</f>
        <v/>
      </c>
      <c r="R238" s="16">
        <f>IF($I238="","",$I238-TODAY())</f>
        <v/>
      </c>
      <c r="S238" s="12">
        <f>IF(AND($I238&lt;&gt;"",$I238&lt;TODAY(),NOT(OR($O238="Ferdig",$O238="Korrekturlest"))),"OVERDUE","")</f>
        <v/>
      </c>
      <c r="T238" s="12" t="inlineStr">
        <is>
          <t>Middels</t>
        </is>
      </c>
      <c r="U238" s="12" t="inlineStr"/>
      <c r="V238" s="12" t="inlineStr"/>
      <c r="W238" s="12" t="inlineStr"/>
      <c r="X238" s="14" t="inlineStr"/>
    </row>
    <row r="239" ht="20" customHeight="1">
      <c r="A239" s="12" t="inlineStr"/>
      <c r="B239" s="12" t="inlineStr"/>
      <c r="C239" s="12" t="inlineStr"/>
      <c r="D239" s="12" t="inlineStr"/>
      <c r="E239" s="6" t="inlineStr"/>
      <c r="F239" s="13" t="inlineStr"/>
      <c r="G239" s="13" t="inlineStr"/>
      <c r="H239" s="14" t="inlineStr"/>
      <c r="I239" s="14" t="inlineStr"/>
      <c r="J239" s="14" t="inlineStr"/>
      <c r="K239" s="14" t="inlineStr"/>
      <c r="L239" s="12" t="inlineStr"/>
      <c r="M239" s="12" t="inlineStr"/>
      <c r="N239" s="12" t="inlineStr"/>
      <c r="O239" s="12">
        <f>IF($N239="x","Korrekturlest",IF($M239="x","Ferdig",IF($L239="x","Mest ferdig",IF($J239&lt;&gt;"","Pågår","Ikke startet"))))</f>
        <v/>
      </c>
      <c r="P239" s="12" t="inlineStr">
        <is>
          <t>Ikke sendt</t>
        </is>
      </c>
      <c r="Q239" s="15">
        <f>IF($D239="","",IFERROR(VLOOKUP($O239,Lists!$A$2:$B$6,2,FALSE),0))</f>
        <v/>
      </c>
      <c r="R239" s="16">
        <f>IF($I239="","",$I239-TODAY())</f>
        <v/>
      </c>
      <c r="S239" s="12">
        <f>IF(AND($I239&lt;&gt;"",$I239&lt;TODAY(),NOT(OR($O239="Ferdig",$O239="Korrekturlest"))),"OVERDUE","")</f>
        <v/>
      </c>
      <c r="T239" s="12" t="inlineStr">
        <is>
          <t>Middels</t>
        </is>
      </c>
      <c r="U239" s="12" t="inlineStr"/>
      <c r="V239" s="12" t="inlineStr"/>
      <c r="W239" s="12" t="inlineStr"/>
      <c r="X239" s="14" t="inlineStr"/>
    </row>
    <row r="240" ht="20" customHeight="1">
      <c r="A240" s="12" t="inlineStr"/>
      <c r="B240" s="12" t="inlineStr"/>
      <c r="C240" s="12" t="inlineStr"/>
      <c r="D240" s="12" t="inlineStr"/>
      <c r="E240" s="6" t="inlineStr"/>
      <c r="F240" s="13" t="inlineStr"/>
      <c r="G240" s="13" t="inlineStr"/>
      <c r="H240" s="14" t="inlineStr"/>
      <c r="I240" s="14" t="inlineStr"/>
      <c r="J240" s="14" t="inlineStr"/>
      <c r="K240" s="14" t="inlineStr"/>
      <c r="L240" s="12" t="inlineStr"/>
      <c r="M240" s="12" t="inlineStr"/>
      <c r="N240" s="12" t="inlineStr"/>
      <c r="O240" s="12">
        <f>IF($N240="x","Korrekturlest",IF($M240="x","Ferdig",IF($L240="x","Mest ferdig",IF($J240&lt;&gt;"","Pågår","Ikke startet"))))</f>
        <v/>
      </c>
      <c r="P240" s="12" t="inlineStr">
        <is>
          <t>Ikke sendt</t>
        </is>
      </c>
      <c r="Q240" s="15">
        <f>IF($D240="","",IFERROR(VLOOKUP($O240,Lists!$A$2:$B$6,2,FALSE),0))</f>
        <v/>
      </c>
      <c r="R240" s="16">
        <f>IF($I240="","",$I240-TODAY())</f>
        <v/>
      </c>
      <c r="S240" s="12">
        <f>IF(AND($I240&lt;&gt;"",$I240&lt;TODAY(),NOT(OR($O240="Ferdig",$O240="Korrekturlest"))),"OVERDUE","")</f>
        <v/>
      </c>
      <c r="T240" s="12" t="inlineStr">
        <is>
          <t>Middels</t>
        </is>
      </c>
      <c r="U240" s="12" t="inlineStr"/>
      <c r="V240" s="12" t="inlineStr"/>
      <c r="W240" s="12" t="inlineStr"/>
      <c r="X240" s="14" t="inlineStr"/>
    </row>
    <row r="241" ht="20" customHeight="1">
      <c r="A241" s="12" t="inlineStr"/>
      <c r="B241" s="12" t="inlineStr"/>
      <c r="C241" s="12" t="inlineStr"/>
      <c r="D241" s="12" t="inlineStr"/>
      <c r="E241" s="6" t="inlineStr"/>
      <c r="F241" s="13" t="inlineStr"/>
      <c r="G241" s="13" t="inlineStr"/>
      <c r="H241" s="14" t="inlineStr"/>
      <c r="I241" s="14" t="inlineStr"/>
      <c r="J241" s="14" t="inlineStr"/>
      <c r="K241" s="14" t="inlineStr"/>
      <c r="L241" s="12" t="inlineStr"/>
      <c r="M241" s="12" t="inlineStr"/>
      <c r="N241" s="12" t="inlineStr"/>
      <c r="O241" s="12">
        <f>IF($N241="x","Korrekturlest",IF($M241="x","Ferdig",IF($L241="x","Mest ferdig",IF($J241&lt;&gt;"","Pågår","Ikke startet"))))</f>
        <v/>
      </c>
      <c r="P241" s="12" t="inlineStr">
        <is>
          <t>Ikke sendt</t>
        </is>
      </c>
      <c r="Q241" s="15">
        <f>IF($D241="","",IFERROR(VLOOKUP($O241,Lists!$A$2:$B$6,2,FALSE),0))</f>
        <v/>
      </c>
      <c r="R241" s="16">
        <f>IF($I241="","",$I241-TODAY())</f>
        <v/>
      </c>
      <c r="S241" s="12">
        <f>IF(AND($I241&lt;&gt;"",$I241&lt;TODAY(),NOT(OR($O241="Ferdig",$O241="Korrekturlest"))),"OVERDUE","")</f>
        <v/>
      </c>
      <c r="T241" s="12" t="inlineStr">
        <is>
          <t>Middels</t>
        </is>
      </c>
      <c r="U241" s="12" t="inlineStr"/>
      <c r="V241" s="12" t="inlineStr"/>
      <c r="W241" s="12" t="inlineStr"/>
      <c r="X241" s="14" t="inlineStr"/>
    </row>
    <row r="242" ht="20" customHeight="1">
      <c r="A242" s="12" t="inlineStr"/>
      <c r="B242" s="12" t="inlineStr"/>
      <c r="C242" s="12" t="inlineStr"/>
      <c r="D242" s="12" t="inlineStr"/>
      <c r="E242" s="6" t="inlineStr"/>
      <c r="F242" s="13" t="inlineStr"/>
      <c r="G242" s="13" t="inlineStr"/>
      <c r="H242" s="14" t="inlineStr"/>
      <c r="I242" s="14" t="inlineStr"/>
      <c r="J242" s="14" t="inlineStr"/>
      <c r="K242" s="14" t="inlineStr"/>
      <c r="L242" s="12" t="inlineStr"/>
      <c r="M242" s="12" t="inlineStr"/>
      <c r="N242" s="12" t="inlineStr"/>
      <c r="O242" s="12">
        <f>IF($N242="x","Korrekturlest",IF($M242="x","Ferdig",IF($L242="x","Mest ferdig",IF($J242&lt;&gt;"","Pågår","Ikke startet"))))</f>
        <v/>
      </c>
      <c r="P242" s="12" t="inlineStr">
        <is>
          <t>Ikke sendt</t>
        </is>
      </c>
      <c r="Q242" s="15">
        <f>IF($D242="","",IFERROR(VLOOKUP($O242,Lists!$A$2:$B$6,2,FALSE),0))</f>
        <v/>
      </c>
      <c r="R242" s="16">
        <f>IF($I242="","",$I242-TODAY())</f>
        <v/>
      </c>
      <c r="S242" s="12">
        <f>IF(AND($I242&lt;&gt;"",$I242&lt;TODAY(),NOT(OR($O242="Ferdig",$O242="Korrekturlest"))),"OVERDUE","")</f>
        <v/>
      </c>
      <c r="T242" s="12" t="inlineStr">
        <is>
          <t>Middels</t>
        </is>
      </c>
      <c r="U242" s="12" t="inlineStr"/>
      <c r="V242" s="12" t="inlineStr"/>
      <c r="W242" s="12" t="inlineStr"/>
      <c r="X242" s="14" t="inlineStr"/>
    </row>
    <row r="243" ht="20" customHeight="1">
      <c r="A243" s="12" t="inlineStr"/>
      <c r="B243" s="12" t="inlineStr"/>
      <c r="C243" s="12" t="inlineStr"/>
      <c r="D243" s="12" t="inlineStr"/>
      <c r="E243" s="6" t="inlineStr"/>
      <c r="F243" s="13" t="inlineStr"/>
      <c r="G243" s="13" t="inlineStr"/>
      <c r="H243" s="14" t="inlineStr"/>
      <c r="I243" s="14" t="inlineStr"/>
      <c r="J243" s="14" t="inlineStr"/>
      <c r="K243" s="14" t="inlineStr"/>
      <c r="L243" s="12" t="inlineStr"/>
      <c r="M243" s="12" t="inlineStr"/>
      <c r="N243" s="12" t="inlineStr"/>
      <c r="O243" s="12">
        <f>IF($N243="x","Korrekturlest",IF($M243="x","Ferdig",IF($L243="x","Mest ferdig",IF($J243&lt;&gt;"","Pågår","Ikke startet"))))</f>
        <v/>
      </c>
      <c r="P243" s="12" t="inlineStr">
        <is>
          <t>Ikke sendt</t>
        </is>
      </c>
      <c r="Q243" s="15">
        <f>IF($D243="","",IFERROR(VLOOKUP($O243,Lists!$A$2:$B$6,2,FALSE),0))</f>
        <v/>
      </c>
      <c r="R243" s="16">
        <f>IF($I243="","",$I243-TODAY())</f>
        <v/>
      </c>
      <c r="S243" s="12">
        <f>IF(AND($I243&lt;&gt;"",$I243&lt;TODAY(),NOT(OR($O243="Ferdig",$O243="Korrekturlest"))),"OVERDUE","")</f>
        <v/>
      </c>
      <c r="T243" s="12" t="inlineStr">
        <is>
          <t>Middels</t>
        </is>
      </c>
      <c r="U243" s="12" t="inlineStr"/>
      <c r="V243" s="12" t="inlineStr"/>
      <c r="W243" s="12" t="inlineStr"/>
      <c r="X243" s="14" t="inlineStr"/>
    </row>
    <row r="244" ht="20" customHeight="1">
      <c r="A244" s="12" t="inlineStr"/>
      <c r="B244" s="12" t="inlineStr"/>
      <c r="C244" s="12" t="inlineStr"/>
      <c r="D244" s="12" t="inlineStr"/>
      <c r="E244" s="6" t="inlineStr"/>
      <c r="F244" s="13" t="inlineStr"/>
      <c r="G244" s="13" t="inlineStr"/>
      <c r="H244" s="14" t="inlineStr"/>
      <c r="I244" s="14" t="inlineStr"/>
      <c r="J244" s="14" t="inlineStr"/>
      <c r="K244" s="14" t="inlineStr"/>
      <c r="L244" s="12" t="inlineStr"/>
      <c r="M244" s="12" t="inlineStr"/>
      <c r="N244" s="12" t="inlineStr"/>
      <c r="O244" s="12">
        <f>IF($N244="x","Korrekturlest",IF($M244="x","Ferdig",IF($L244="x","Mest ferdig",IF($J244&lt;&gt;"","Pågår","Ikke startet"))))</f>
        <v/>
      </c>
      <c r="P244" s="12" t="inlineStr">
        <is>
          <t>Ikke sendt</t>
        </is>
      </c>
      <c r="Q244" s="15">
        <f>IF($D244="","",IFERROR(VLOOKUP($O244,Lists!$A$2:$B$6,2,FALSE),0))</f>
        <v/>
      </c>
      <c r="R244" s="16">
        <f>IF($I244="","",$I244-TODAY())</f>
        <v/>
      </c>
      <c r="S244" s="12">
        <f>IF(AND($I244&lt;&gt;"",$I244&lt;TODAY(),NOT(OR($O244="Ferdig",$O244="Korrekturlest"))),"OVERDUE","")</f>
        <v/>
      </c>
      <c r="T244" s="12" t="inlineStr">
        <is>
          <t>Middels</t>
        </is>
      </c>
      <c r="U244" s="12" t="inlineStr"/>
      <c r="V244" s="12" t="inlineStr"/>
      <c r="W244" s="12" t="inlineStr"/>
      <c r="X244" s="14" t="inlineStr"/>
    </row>
    <row r="245" ht="20" customHeight="1">
      <c r="A245" s="12" t="inlineStr"/>
      <c r="B245" s="12" t="inlineStr"/>
      <c r="C245" s="12" t="inlineStr"/>
      <c r="D245" s="12" t="inlineStr"/>
      <c r="E245" s="6" t="inlineStr"/>
      <c r="F245" s="13" t="inlineStr"/>
      <c r="G245" s="13" t="inlineStr"/>
      <c r="H245" s="14" t="inlineStr"/>
      <c r="I245" s="14" t="inlineStr"/>
      <c r="J245" s="14" t="inlineStr"/>
      <c r="K245" s="14" t="inlineStr"/>
      <c r="L245" s="12" t="inlineStr"/>
      <c r="M245" s="12" t="inlineStr"/>
      <c r="N245" s="12" t="inlineStr"/>
      <c r="O245" s="12">
        <f>IF($N245="x","Korrekturlest",IF($M245="x","Ferdig",IF($L245="x","Mest ferdig",IF($J245&lt;&gt;"","Pågår","Ikke startet"))))</f>
        <v/>
      </c>
      <c r="P245" s="12" t="inlineStr">
        <is>
          <t>Ikke sendt</t>
        </is>
      </c>
      <c r="Q245" s="15">
        <f>IF($D245="","",IFERROR(VLOOKUP($O245,Lists!$A$2:$B$6,2,FALSE),0))</f>
        <v/>
      </c>
      <c r="R245" s="16">
        <f>IF($I245="","",$I245-TODAY())</f>
        <v/>
      </c>
      <c r="S245" s="12">
        <f>IF(AND($I245&lt;&gt;"",$I245&lt;TODAY(),NOT(OR($O245="Ferdig",$O245="Korrekturlest"))),"OVERDUE","")</f>
        <v/>
      </c>
      <c r="T245" s="12" t="inlineStr">
        <is>
          <t>Middels</t>
        </is>
      </c>
      <c r="U245" s="12" t="inlineStr"/>
      <c r="V245" s="12" t="inlineStr"/>
      <c r="W245" s="12" t="inlineStr"/>
      <c r="X245" s="14" t="inlineStr"/>
    </row>
    <row r="246" ht="20" customHeight="1">
      <c r="A246" s="12" t="inlineStr"/>
      <c r="B246" s="12" t="inlineStr"/>
      <c r="C246" s="12" t="inlineStr"/>
      <c r="D246" s="12" t="inlineStr"/>
      <c r="E246" s="6" t="inlineStr"/>
      <c r="F246" s="13" t="inlineStr"/>
      <c r="G246" s="13" t="inlineStr"/>
      <c r="H246" s="14" t="inlineStr"/>
      <c r="I246" s="14" t="inlineStr"/>
      <c r="J246" s="14" t="inlineStr"/>
      <c r="K246" s="14" t="inlineStr"/>
      <c r="L246" s="12" t="inlineStr"/>
      <c r="M246" s="12" t="inlineStr"/>
      <c r="N246" s="12" t="inlineStr"/>
      <c r="O246" s="12">
        <f>IF($N246="x","Korrekturlest",IF($M246="x","Ferdig",IF($L246="x","Mest ferdig",IF($J246&lt;&gt;"","Pågår","Ikke startet"))))</f>
        <v/>
      </c>
      <c r="P246" s="12" t="inlineStr">
        <is>
          <t>Ikke sendt</t>
        </is>
      </c>
      <c r="Q246" s="15">
        <f>IF($D246="","",IFERROR(VLOOKUP($O246,Lists!$A$2:$B$6,2,FALSE),0))</f>
        <v/>
      </c>
      <c r="R246" s="16">
        <f>IF($I246="","",$I246-TODAY())</f>
        <v/>
      </c>
      <c r="S246" s="12">
        <f>IF(AND($I246&lt;&gt;"",$I246&lt;TODAY(),NOT(OR($O246="Ferdig",$O246="Korrekturlest"))),"OVERDUE","")</f>
        <v/>
      </c>
      <c r="T246" s="12" t="inlineStr">
        <is>
          <t>Middels</t>
        </is>
      </c>
      <c r="U246" s="12" t="inlineStr"/>
      <c r="V246" s="12" t="inlineStr"/>
      <c r="W246" s="12" t="inlineStr"/>
      <c r="X246" s="14" t="inlineStr"/>
    </row>
    <row r="247" ht="20" customHeight="1">
      <c r="A247" s="12" t="inlineStr"/>
      <c r="B247" s="12" t="inlineStr"/>
      <c r="C247" s="12" t="inlineStr"/>
      <c r="D247" s="12" t="inlineStr"/>
      <c r="E247" s="6" t="inlineStr"/>
      <c r="F247" s="13" t="inlineStr"/>
      <c r="G247" s="13" t="inlineStr"/>
      <c r="H247" s="14" t="inlineStr"/>
      <c r="I247" s="14" t="inlineStr"/>
      <c r="J247" s="14" t="inlineStr"/>
      <c r="K247" s="14" t="inlineStr"/>
      <c r="L247" s="12" t="inlineStr"/>
      <c r="M247" s="12" t="inlineStr"/>
      <c r="N247" s="12" t="inlineStr"/>
      <c r="O247" s="12">
        <f>IF($N247="x","Korrekturlest",IF($M247="x","Ferdig",IF($L247="x","Mest ferdig",IF($J247&lt;&gt;"","Pågår","Ikke startet"))))</f>
        <v/>
      </c>
      <c r="P247" s="12" t="inlineStr">
        <is>
          <t>Ikke sendt</t>
        </is>
      </c>
      <c r="Q247" s="15">
        <f>IF($D247="","",IFERROR(VLOOKUP($O247,Lists!$A$2:$B$6,2,FALSE),0))</f>
        <v/>
      </c>
      <c r="R247" s="16">
        <f>IF($I247="","",$I247-TODAY())</f>
        <v/>
      </c>
      <c r="S247" s="12">
        <f>IF(AND($I247&lt;&gt;"",$I247&lt;TODAY(),NOT(OR($O247="Ferdig",$O247="Korrekturlest"))),"OVERDUE","")</f>
        <v/>
      </c>
      <c r="T247" s="12" t="inlineStr">
        <is>
          <t>Middels</t>
        </is>
      </c>
      <c r="U247" s="12" t="inlineStr"/>
      <c r="V247" s="12" t="inlineStr"/>
      <c r="W247" s="12" t="inlineStr"/>
      <c r="X247" s="14" t="inlineStr"/>
    </row>
    <row r="248" ht="20" customHeight="1">
      <c r="A248" s="12" t="inlineStr"/>
      <c r="B248" s="12" t="inlineStr"/>
      <c r="C248" s="12" t="inlineStr"/>
      <c r="D248" s="12" t="inlineStr"/>
      <c r="E248" s="6" t="inlineStr"/>
      <c r="F248" s="13" t="inlineStr"/>
      <c r="G248" s="13" t="inlineStr"/>
      <c r="H248" s="14" t="inlineStr"/>
      <c r="I248" s="14" t="inlineStr"/>
      <c r="J248" s="14" t="inlineStr"/>
      <c r="K248" s="14" t="inlineStr"/>
      <c r="L248" s="12" t="inlineStr"/>
      <c r="M248" s="12" t="inlineStr"/>
      <c r="N248" s="12" t="inlineStr"/>
      <c r="O248" s="12">
        <f>IF($N248="x","Korrekturlest",IF($M248="x","Ferdig",IF($L248="x","Mest ferdig",IF($J248&lt;&gt;"","Pågår","Ikke startet"))))</f>
        <v/>
      </c>
      <c r="P248" s="12" t="inlineStr">
        <is>
          <t>Ikke sendt</t>
        </is>
      </c>
      <c r="Q248" s="15">
        <f>IF($D248="","",IFERROR(VLOOKUP($O248,Lists!$A$2:$B$6,2,FALSE),0))</f>
        <v/>
      </c>
      <c r="R248" s="16">
        <f>IF($I248="","",$I248-TODAY())</f>
        <v/>
      </c>
      <c r="S248" s="12">
        <f>IF(AND($I248&lt;&gt;"",$I248&lt;TODAY(),NOT(OR($O248="Ferdig",$O248="Korrekturlest"))),"OVERDUE","")</f>
        <v/>
      </c>
      <c r="T248" s="12" t="inlineStr">
        <is>
          <t>Middels</t>
        </is>
      </c>
      <c r="U248" s="12" t="inlineStr"/>
      <c r="V248" s="12" t="inlineStr"/>
      <c r="W248" s="12" t="inlineStr"/>
      <c r="X248" s="14" t="inlineStr"/>
    </row>
    <row r="249" ht="20" customHeight="1">
      <c r="A249" s="12" t="inlineStr"/>
      <c r="B249" s="12" t="inlineStr"/>
      <c r="C249" s="12" t="inlineStr"/>
      <c r="D249" s="12" t="inlineStr"/>
      <c r="E249" s="6" t="inlineStr"/>
      <c r="F249" s="13" t="inlineStr"/>
      <c r="G249" s="13" t="inlineStr"/>
      <c r="H249" s="14" t="inlineStr"/>
      <c r="I249" s="14" t="inlineStr"/>
      <c r="J249" s="14" t="inlineStr"/>
      <c r="K249" s="14" t="inlineStr"/>
      <c r="L249" s="12" t="inlineStr"/>
      <c r="M249" s="12" t="inlineStr"/>
      <c r="N249" s="12" t="inlineStr"/>
      <c r="O249" s="12">
        <f>IF($N249="x","Korrekturlest",IF($M249="x","Ferdig",IF($L249="x","Mest ferdig",IF($J249&lt;&gt;"","Pågår","Ikke startet"))))</f>
        <v/>
      </c>
      <c r="P249" s="12" t="inlineStr">
        <is>
          <t>Ikke sendt</t>
        </is>
      </c>
      <c r="Q249" s="15">
        <f>IF($D249="","",IFERROR(VLOOKUP($O249,Lists!$A$2:$B$6,2,FALSE),0))</f>
        <v/>
      </c>
      <c r="R249" s="16">
        <f>IF($I249="","",$I249-TODAY())</f>
        <v/>
      </c>
      <c r="S249" s="12">
        <f>IF(AND($I249&lt;&gt;"",$I249&lt;TODAY(),NOT(OR($O249="Ferdig",$O249="Korrekturlest"))),"OVERDUE","")</f>
        <v/>
      </c>
      <c r="T249" s="12" t="inlineStr">
        <is>
          <t>Middels</t>
        </is>
      </c>
      <c r="U249" s="12" t="inlineStr"/>
      <c r="V249" s="12" t="inlineStr"/>
      <c r="W249" s="12" t="inlineStr"/>
      <c r="X249" s="14" t="inlineStr"/>
    </row>
    <row r="250" ht="20" customHeight="1">
      <c r="A250" s="12" t="inlineStr"/>
      <c r="B250" s="12" t="inlineStr"/>
      <c r="C250" s="12" t="inlineStr"/>
      <c r="D250" s="12" t="inlineStr"/>
      <c r="E250" s="6" t="inlineStr"/>
      <c r="F250" s="13" t="inlineStr"/>
      <c r="G250" s="13" t="inlineStr"/>
      <c r="H250" s="14" t="inlineStr"/>
      <c r="I250" s="14" t="inlineStr"/>
      <c r="J250" s="14" t="inlineStr"/>
      <c r="K250" s="14" t="inlineStr"/>
      <c r="L250" s="12" t="inlineStr"/>
      <c r="M250" s="12" t="inlineStr"/>
      <c r="N250" s="12" t="inlineStr"/>
      <c r="O250" s="12">
        <f>IF($N250="x","Korrekturlest",IF($M250="x","Ferdig",IF($L250="x","Mest ferdig",IF($J250&lt;&gt;"","Pågår","Ikke startet"))))</f>
        <v/>
      </c>
      <c r="P250" s="12" t="inlineStr">
        <is>
          <t>Ikke sendt</t>
        </is>
      </c>
      <c r="Q250" s="15">
        <f>IF($D250="","",IFERROR(VLOOKUP($O250,Lists!$A$2:$B$6,2,FALSE),0))</f>
        <v/>
      </c>
      <c r="R250" s="16">
        <f>IF($I250="","",$I250-TODAY())</f>
        <v/>
      </c>
      <c r="S250" s="12">
        <f>IF(AND($I250&lt;&gt;"",$I250&lt;TODAY(),NOT(OR($O250="Ferdig",$O250="Korrekturlest"))),"OVERDUE","")</f>
        <v/>
      </c>
      <c r="T250" s="12" t="inlineStr">
        <is>
          <t>Middels</t>
        </is>
      </c>
      <c r="U250" s="12" t="inlineStr"/>
      <c r="V250" s="12" t="inlineStr"/>
      <c r="W250" s="12" t="inlineStr"/>
      <c r="X250" s="14" t="inlineStr"/>
    </row>
    <row r="251" ht="20" customHeight="1">
      <c r="A251" s="12" t="inlineStr"/>
      <c r="B251" s="12" t="inlineStr"/>
      <c r="C251" s="12" t="inlineStr"/>
      <c r="D251" s="12" t="inlineStr"/>
      <c r="E251" s="6" t="inlineStr"/>
      <c r="F251" s="13" t="inlineStr"/>
      <c r="G251" s="13" t="inlineStr"/>
      <c r="H251" s="14" t="inlineStr"/>
      <c r="I251" s="14" t="inlineStr"/>
      <c r="J251" s="14" t="inlineStr"/>
      <c r="K251" s="14" t="inlineStr"/>
      <c r="L251" s="12" t="inlineStr"/>
      <c r="M251" s="12" t="inlineStr"/>
      <c r="N251" s="12" t="inlineStr"/>
      <c r="O251" s="12">
        <f>IF($N251="x","Korrekturlest",IF($M251="x","Ferdig",IF($L251="x","Mest ferdig",IF($J251&lt;&gt;"","Pågår","Ikke startet"))))</f>
        <v/>
      </c>
      <c r="P251" s="12" t="inlineStr">
        <is>
          <t>Ikke sendt</t>
        </is>
      </c>
      <c r="Q251" s="15">
        <f>IF($D251="","",IFERROR(VLOOKUP($O251,Lists!$A$2:$B$6,2,FALSE),0))</f>
        <v/>
      </c>
      <c r="R251" s="16">
        <f>IF($I251="","",$I251-TODAY())</f>
        <v/>
      </c>
      <c r="S251" s="12">
        <f>IF(AND($I251&lt;&gt;"",$I251&lt;TODAY(),NOT(OR($O251="Ferdig",$O251="Korrekturlest"))),"OVERDUE","")</f>
        <v/>
      </c>
      <c r="T251" s="12" t="inlineStr">
        <is>
          <t>Middels</t>
        </is>
      </c>
      <c r="U251" s="12" t="inlineStr"/>
      <c r="V251" s="12" t="inlineStr"/>
      <c r="W251" s="12" t="inlineStr"/>
      <c r="X251" s="14" t="inlineStr"/>
    </row>
    <row r="252" ht="20" customHeight="1">
      <c r="A252" s="12" t="inlineStr"/>
      <c r="B252" s="12" t="inlineStr"/>
      <c r="C252" s="12" t="inlineStr"/>
      <c r="D252" s="12" t="inlineStr"/>
      <c r="E252" s="6" t="inlineStr"/>
      <c r="F252" s="13" t="inlineStr"/>
      <c r="G252" s="13" t="inlineStr"/>
      <c r="H252" s="14" t="inlineStr"/>
      <c r="I252" s="14" t="inlineStr"/>
      <c r="J252" s="14" t="inlineStr"/>
      <c r="K252" s="14" t="inlineStr"/>
      <c r="L252" s="12" t="inlineStr"/>
      <c r="M252" s="12" t="inlineStr"/>
      <c r="N252" s="12" t="inlineStr"/>
      <c r="O252" s="12">
        <f>IF($N252="x","Korrekturlest",IF($M252="x","Ferdig",IF($L252="x","Mest ferdig",IF($J252&lt;&gt;"","Pågår","Ikke startet"))))</f>
        <v/>
      </c>
      <c r="P252" s="12" t="inlineStr">
        <is>
          <t>Ikke sendt</t>
        </is>
      </c>
      <c r="Q252" s="15">
        <f>IF($D252="","",IFERROR(VLOOKUP($O252,Lists!$A$2:$B$6,2,FALSE),0))</f>
        <v/>
      </c>
      <c r="R252" s="16">
        <f>IF($I252="","",$I252-TODAY())</f>
        <v/>
      </c>
      <c r="S252" s="12">
        <f>IF(AND($I252&lt;&gt;"",$I252&lt;TODAY(),NOT(OR($O252="Ferdig",$O252="Korrekturlest"))),"OVERDUE","")</f>
        <v/>
      </c>
      <c r="T252" s="12" t="inlineStr">
        <is>
          <t>Middels</t>
        </is>
      </c>
      <c r="U252" s="12" t="inlineStr"/>
      <c r="V252" s="12" t="inlineStr"/>
      <c r="W252" s="12" t="inlineStr"/>
      <c r="X252" s="14" t="inlineStr"/>
    </row>
    <row r="253" ht="20" customHeight="1">
      <c r="A253" s="12" t="inlineStr"/>
      <c r="B253" s="12" t="inlineStr"/>
      <c r="C253" s="12" t="inlineStr"/>
      <c r="D253" s="12" t="inlineStr"/>
      <c r="E253" s="6" t="inlineStr"/>
      <c r="F253" s="13" t="inlineStr"/>
      <c r="G253" s="13" t="inlineStr"/>
      <c r="H253" s="14" t="inlineStr"/>
      <c r="I253" s="14" t="inlineStr"/>
      <c r="J253" s="14" t="inlineStr"/>
      <c r="K253" s="14" t="inlineStr"/>
      <c r="L253" s="12" t="inlineStr"/>
      <c r="M253" s="12" t="inlineStr"/>
      <c r="N253" s="12" t="inlineStr"/>
      <c r="O253" s="12">
        <f>IF($N253="x","Korrekturlest",IF($M253="x","Ferdig",IF($L253="x","Mest ferdig",IF($J253&lt;&gt;"","Pågår","Ikke startet"))))</f>
        <v/>
      </c>
      <c r="P253" s="12" t="inlineStr">
        <is>
          <t>Ikke sendt</t>
        </is>
      </c>
      <c r="Q253" s="15">
        <f>IF($D253="","",IFERROR(VLOOKUP($O253,Lists!$A$2:$B$6,2,FALSE),0))</f>
        <v/>
      </c>
      <c r="R253" s="16">
        <f>IF($I253="","",$I253-TODAY())</f>
        <v/>
      </c>
      <c r="S253" s="12">
        <f>IF(AND($I253&lt;&gt;"",$I253&lt;TODAY(),NOT(OR($O253="Ferdig",$O253="Korrekturlest"))),"OVERDUE","")</f>
        <v/>
      </c>
      <c r="T253" s="12" t="inlineStr">
        <is>
          <t>Middels</t>
        </is>
      </c>
      <c r="U253" s="12" t="inlineStr"/>
      <c r="V253" s="12" t="inlineStr"/>
      <c r="W253" s="12" t="inlineStr"/>
      <c r="X253" s="14" t="inlineStr"/>
    </row>
    <row r="254" ht="20" customHeight="1">
      <c r="A254" s="12" t="inlineStr"/>
      <c r="B254" s="12" t="inlineStr"/>
      <c r="C254" s="12" t="inlineStr"/>
      <c r="D254" s="12" t="inlineStr"/>
      <c r="E254" s="6" t="inlineStr"/>
      <c r="F254" s="13" t="inlineStr"/>
      <c r="G254" s="13" t="inlineStr"/>
      <c r="H254" s="14" t="inlineStr"/>
      <c r="I254" s="14" t="inlineStr"/>
      <c r="J254" s="14" t="inlineStr"/>
      <c r="K254" s="14" t="inlineStr"/>
      <c r="L254" s="12" t="inlineStr"/>
      <c r="M254" s="12" t="inlineStr"/>
      <c r="N254" s="12" t="inlineStr"/>
      <c r="O254" s="12">
        <f>IF($N254="x","Korrekturlest",IF($M254="x","Ferdig",IF($L254="x","Mest ferdig",IF($J254&lt;&gt;"","Pågår","Ikke startet"))))</f>
        <v/>
      </c>
      <c r="P254" s="12" t="inlineStr">
        <is>
          <t>Ikke sendt</t>
        </is>
      </c>
      <c r="Q254" s="15">
        <f>IF($D254="","",IFERROR(VLOOKUP($O254,Lists!$A$2:$B$6,2,FALSE),0))</f>
        <v/>
      </c>
      <c r="R254" s="16">
        <f>IF($I254="","",$I254-TODAY())</f>
        <v/>
      </c>
      <c r="S254" s="12">
        <f>IF(AND($I254&lt;&gt;"",$I254&lt;TODAY(),NOT(OR($O254="Ferdig",$O254="Korrekturlest"))),"OVERDUE","")</f>
        <v/>
      </c>
      <c r="T254" s="12" t="inlineStr">
        <is>
          <t>Middels</t>
        </is>
      </c>
      <c r="U254" s="12" t="inlineStr"/>
      <c r="V254" s="12" t="inlineStr"/>
      <c r="W254" s="12" t="inlineStr"/>
      <c r="X254" s="14" t="inlineStr"/>
    </row>
    <row r="255" ht="20" customHeight="1">
      <c r="A255" s="12" t="inlineStr"/>
      <c r="B255" s="12" t="inlineStr"/>
      <c r="C255" s="12" t="inlineStr"/>
      <c r="D255" s="12" t="inlineStr"/>
      <c r="E255" s="6" t="inlineStr"/>
      <c r="F255" s="13" t="inlineStr"/>
      <c r="G255" s="13" t="inlineStr"/>
      <c r="H255" s="14" t="inlineStr"/>
      <c r="I255" s="14" t="inlineStr"/>
      <c r="J255" s="14" t="inlineStr"/>
      <c r="K255" s="14" t="inlineStr"/>
      <c r="L255" s="12" t="inlineStr"/>
      <c r="M255" s="12" t="inlineStr"/>
      <c r="N255" s="12" t="inlineStr"/>
      <c r="O255" s="12">
        <f>IF($N255="x","Korrekturlest",IF($M255="x","Ferdig",IF($L255="x","Mest ferdig",IF($J255&lt;&gt;"","Pågår","Ikke startet"))))</f>
        <v/>
      </c>
      <c r="P255" s="12" t="inlineStr">
        <is>
          <t>Ikke sendt</t>
        </is>
      </c>
      <c r="Q255" s="15">
        <f>IF($D255="","",IFERROR(VLOOKUP($O255,Lists!$A$2:$B$6,2,FALSE),0))</f>
        <v/>
      </c>
      <c r="R255" s="16">
        <f>IF($I255="","",$I255-TODAY())</f>
        <v/>
      </c>
      <c r="S255" s="12">
        <f>IF(AND($I255&lt;&gt;"",$I255&lt;TODAY(),NOT(OR($O255="Ferdig",$O255="Korrekturlest"))),"OVERDUE","")</f>
        <v/>
      </c>
      <c r="T255" s="12" t="inlineStr">
        <is>
          <t>Middels</t>
        </is>
      </c>
      <c r="U255" s="12" t="inlineStr"/>
      <c r="V255" s="12" t="inlineStr"/>
      <c r="W255" s="12" t="inlineStr"/>
      <c r="X255" s="14" t="inlineStr"/>
    </row>
    <row r="256" ht="20" customHeight="1">
      <c r="A256" s="12" t="inlineStr"/>
      <c r="B256" s="12" t="inlineStr"/>
      <c r="C256" s="12" t="inlineStr"/>
      <c r="D256" s="12" t="inlineStr"/>
      <c r="E256" s="6" t="inlineStr"/>
      <c r="F256" s="13" t="inlineStr"/>
      <c r="G256" s="13" t="inlineStr"/>
      <c r="H256" s="14" t="inlineStr"/>
      <c r="I256" s="14" t="inlineStr"/>
      <c r="J256" s="14" t="inlineStr"/>
      <c r="K256" s="14" t="inlineStr"/>
      <c r="L256" s="12" t="inlineStr"/>
      <c r="M256" s="12" t="inlineStr"/>
      <c r="N256" s="12" t="inlineStr"/>
      <c r="O256" s="12">
        <f>IF($N256="x","Korrekturlest",IF($M256="x","Ferdig",IF($L256="x","Mest ferdig",IF($J256&lt;&gt;"","Pågår","Ikke startet"))))</f>
        <v/>
      </c>
      <c r="P256" s="12" t="inlineStr">
        <is>
          <t>Ikke sendt</t>
        </is>
      </c>
      <c r="Q256" s="15">
        <f>IF($D256="","",IFERROR(VLOOKUP($O256,Lists!$A$2:$B$6,2,FALSE),0))</f>
        <v/>
      </c>
      <c r="R256" s="16">
        <f>IF($I256="","",$I256-TODAY())</f>
        <v/>
      </c>
      <c r="S256" s="12">
        <f>IF(AND($I256&lt;&gt;"",$I256&lt;TODAY(),NOT(OR($O256="Ferdig",$O256="Korrekturlest"))),"OVERDUE","")</f>
        <v/>
      </c>
      <c r="T256" s="12" t="inlineStr">
        <is>
          <t>Middels</t>
        </is>
      </c>
      <c r="U256" s="12" t="inlineStr"/>
      <c r="V256" s="12" t="inlineStr"/>
      <c r="W256" s="12" t="inlineStr"/>
      <c r="X256" s="14" t="inlineStr"/>
    </row>
    <row r="257" ht="20" customHeight="1">
      <c r="A257" s="12" t="inlineStr"/>
      <c r="B257" s="12" t="inlineStr"/>
      <c r="C257" s="12" t="inlineStr"/>
      <c r="D257" s="12" t="inlineStr"/>
      <c r="E257" s="6" t="inlineStr"/>
      <c r="F257" s="13" t="inlineStr"/>
      <c r="G257" s="13" t="inlineStr"/>
      <c r="H257" s="14" t="inlineStr"/>
      <c r="I257" s="14" t="inlineStr"/>
      <c r="J257" s="14" t="inlineStr"/>
      <c r="K257" s="14" t="inlineStr"/>
      <c r="L257" s="12" t="inlineStr"/>
      <c r="M257" s="12" t="inlineStr"/>
      <c r="N257" s="12" t="inlineStr"/>
      <c r="O257" s="12">
        <f>IF($N257="x","Korrekturlest",IF($M257="x","Ferdig",IF($L257="x","Mest ferdig",IF($J257&lt;&gt;"","Pågår","Ikke startet"))))</f>
        <v/>
      </c>
      <c r="P257" s="12" t="inlineStr">
        <is>
          <t>Ikke sendt</t>
        </is>
      </c>
      <c r="Q257" s="15">
        <f>IF($D257="","",IFERROR(VLOOKUP($O257,Lists!$A$2:$B$6,2,FALSE),0))</f>
        <v/>
      </c>
      <c r="R257" s="16">
        <f>IF($I257="","",$I257-TODAY())</f>
        <v/>
      </c>
      <c r="S257" s="12">
        <f>IF(AND($I257&lt;&gt;"",$I257&lt;TODAY(),NOT(OR($O257="Ferdig",$O257="Korrekturlest"))),"OVERDUE","")</f>
        <v/>
      </c>
      <c r="T257" s="12" t="inlineStr">
        <is>
          <t>Middels</t>
        </is>
      </c>
      <c r="U257" s="12" t="inlineStr"/>
      <c r="V257" s="12" t="inlineStr"/>
      <c r="W257" s="12" t="inlineStr"/>
      <c r="X257" s="14" t="inlineStr"/>
    </row>
    <row r="258" ht="20" customHeight="1">
      <c r="A258" s="12" t="inlineStr"/>
      <c r="B258" s="12" t="inlineStr"/>
      <c r="C258" s="12" t="inlineStr"/>
      <c r="D258" s="12" t="inlineStr"/>
      <c r="E258" s="6" t="inlineStr"/>
      <c r="F258" s="13" t="inlineStr"/>
      <c r="G258" s="13" t="inlineStr"/>
      <c r="H258" s="14" t="inlineStr"/>
      <c r="I258" s="14" t="inlineStr"/>
      <c r="J258" s="14" t="inlineStr"/>
      <c r="K258" s="14" t="inlineStr"/>
      <c r="L258" s="12" t="inlineStr"/>
      <c r="M258" s="12" t="inlineStr"/>
      <c r="N258" s="12" t="inlineStr"/>
      <c r="O258" s="12">
        <f>IF($N258="x","Korrekturlest",IF($M258="x","Ferdig",IF($L258="x","Mest ferdig",IF($J258&lt;&gt;"","Pågår","Ikke startet"))))</f>
        <v/>
      </c>
      <c r="P258" s="12" t="inlineStr">
        <is>
          <t>Ikke sendt</t>
        </is>
      </c>
      <c r="Q258" s="15">
        <f>IF($D258="","",IFERROR(VLOOKUP($O258,Lists!$A$2:$B$6,2,FALSE),0))</f>
        <v/>
      </c>
      <c r="R258" s="16">
        <f>IF($I258="","",$I258-TODAY())</f>
        <v/>
      </c>
      <c r="S258" s="12">
        <f>IF(AND($I258&lt;&gt;"",$I258&lt;TODAY(),NOT(OR($O258="Ferdig",$O258="Korrekturlest"))),"OVERDUE","")</f>
        <v/>
      </c>
      <c r="T258" s="12" t="inlineStr">
        <is>
          <t>Middels</t>
        </is>
      </c>
      <c r="U258" s="12" t="inlineStr"/>
      <c r="V258" s="12" t="inlineStr"/>
      <c r="W258" s="12" t="inlineStr"/>
      <c r="X258" s="14" t="inlineStr"/>
    </row>
    <row r="259" ht="20" customHeight="1">
      <c r="A259" s="12" t="inlineStr"/>
      <c r="B259" s="12" t="inlineStr"/>
      <c r="C259" s="12" t="inlineStr"/>
      <c r="D259" s="12" t="inlineStr"/>
      <c r="E259" s="6" t="inlineStr"/>
      <c r="F259" s="13" t="inlineStr"/>
      <c r="G259" s="13" t="inlineStr"/>
      <c r="H259" s="14" t="inlineStr"/>
      <c r="I259" s="14" t="inlineStr"/>
      <c r="J259" s="14" t="inlineStr"/>
      <c r="K259" s="14" t="inlineStr"/>
      <c r="L259" s="12" t="inlineStr"/>
      <c r="M259" s="12" t="inlineStr"/>
      <c r="N259" s="12" t="inlineStr"/>
      <c r="O259" s="12">
        <f>IF($N259="x","Korrekturlest",IF($M259="x","Ferdig",IF($L259="x","Mest ferdig",IF($J259&lt;&gt;"","Pågår","Ikke startet"))))</f>
        <v/>
      </c>
      <c r="P259" s="12" t="inlineStr">
        <is>
          <t>Ikke sendt</t>
        </is>
      </c>
      <c r="Q259" s="15">
        <f>IF($D259="","",IFERROR(VLOOKUP($O259,Lists!$A$2:$B$6,2,FALSE),0))</f>
        <v/>
      </c>
      <c r="R259" s="16">
        <f>IF($I259="","",$I259-TODAY())</f>
        <v/>
      </c>
      <c r="S259" s="12">
        <f>IF(AND($I259&lt;&gt;"",$I259&lt;TODAY(),NOT(OR($O259="Ferdig",$O259="Korrekturlest"))),"OVERDUE","")</f>
        <v/>
      </c>
      <c r="T259" s="12" t="inlineStr">
        <is>
          <t>Middels</t>
        </is>
      </c>
      <c r="U259" s="12" t="inlineStr"/>
      <c r="V259" s="12" t="inlineStr"/>
      <c r="W259" s="12" t="inlineStr"/>
      <c r="X259" s="14" t="inlineStr"/>
    </row>
    <row r="260" ht="20" customHeight="1">
      <c r="A260" s="12" t="inlineStr"/>
      <c r="B260" s="12" t="inlineStr"/>
      <c r="C260" s="12" t="inlineStr"/>
      <c r="D260" s="12" t="inlineStr"/>
      <c r="E260" s="6" t="inlineStr"/>
      <c r="F260" s="13" t="inlineStr"/>
      <c r="G260" s="13" t="inlineStr"/>
      <c r="H260" s="14" t="inlineStr"/>
      <c r="I260" s="14" t="inlineStr"/>
      <c r="J260" s="14" t="inlineStr"/>
      <c r="K260" s="14" t="inlineStr"/>
      <c r="L260" s="12" t="inlineStr"/>
      <c r="M260" s="12" t="inlineStr"/>
      <c r="N260" s="12" t="inlineStr"/>
      <c r="O260" s="12">
        <f>IF($N260="x","Korrekturlest",IF($M260="x","Ferdig",IF($L260="x","Mest ferdig",IF($J260&lt;&gt;"","Pågår","Ikke startet"))))</f>
        <v/>
      </c>
      <c r="P260" s="12" t="inlineStr">
        <is>
          <t>Ikke sendt</t>
        </is>
      </c>
      <c r="Q260" s="15">
        <f>IF($D260="","",IFERROR(VLOOKUP($O260,Lists!$A$2:$B$6,2,FALSE),0))</f>
        <v/>
      </c>
      <c r="R260" s="16">
        <f>IF($I260="","",$I260-TODAY())</f>
        <v/>
      </c>
      <c r="S260" s="12">
        <f>IF(AND($I260&lt;&gt;"",$I260&lt;TODAY(),NOT(OR($O260="Ferdig",$O260="Korrekturlest"))),"OVERDUE","")</f>
        <v/>
      </c>
      <c r="T260" s="12" t="inlineStr">
        <is>
          <t>Middels</t>
        </is>
      </c>
      <c r="U260" s="12" t="inlineStr"/>
      <c r="V260" s="12" t="inlineStr"/>
      <c r="W260" s="12" t="inlineStr"/>
      <c r="X260" s="14" t="inlineStr"/>
    </row>
    <row r="261" ht="20" customHeight="1">
      <c r="A261" s="12" t="inlineStr"/>
      <c r="B261" s="12" t="inlineStr"/>
      <c r="C261" s="12" t="inlineStr"/>
      <c r="D261" s="12" t="inlineStr"/>
      <c r="E261" s="6" t="inlineStr"/>
      <c r="F261" s="13" t="inlineStr"/>
      <c r="G261" s="13" t="inlineStr"/>
      <c r="H261" s="14" t="inlineStr"/>
      <c r="I261" s="14" t="inlineStr"/>
      <c r="J261" s="14" t="inlineStr"/>
      <c r="K261" s="14" t="inlineStr"/>
      <c r="L261" s="12" t="inlineStr"/>
      <c r="M261" s="12" t="inlineStr"/>
      <c r="N261" s="12" t="inlineStr"/>
      <c r="O261" s="12">
        <f>IF($N261="x","Korrekturlest",IF($M261="x","Ferdig",IF($L261="x","Mest ferdig",IF($J261&lt;&gt;"","Pågår","Ikke startet"))))</f>
        <v/>
      </c>
      <c r="P261" s="12" t="inlineStr">
        <is>
          <t>Ikke sendt</t>
        </is>
      </c>
      <c r="Q261" s="15">
        <f>IF($D261="","",IFERROR(VLOOKUP($O261,Lists!$A$2:$B$6,2,FALSE),0))</f>
        <v/>
      </c>
      <c r="R261" s="16">
        <f>IF($I261="","",$I261-TODAY())</f>
        <v/>
      </c>
      <c r="S261" s="12">
        <f>IF(AND($I261&lt;&gt;"",$I261&lt;TODAY(),NOT(OR($O261="Ferdig",$O261="Korrekturlest"))),"OVERDUE","")</f>
        <v/>
      </c>
      <c r="T261" s="12" t="inlineStr">
        <is>
          <t>Middels</t>
        </is>
      </c>
      <c r="U261" s="12" t="inlineStr"/>
      <c r="V261" s="12" t="inlineStr"/>
      <c r="W261" s="12" t="inlineStr"/>
      <c r="X261" s="14" t="inlineStr"/>
    </row>
    <row r="262" ht="20" customHeight="1">
      <c r="A262" s="12" t="inlineStr"/>
      <c r="B262" s="12" t="inlineStr"/>
      <c r="C262" s="12" t="inlineStr"/>
      <c r="D262" s="12" t="inlineStr"/>
      <c r="E262" s="6" t="inlineStr"/>
      <c r="F262" s="13" t="inlineStr"/>
      <c r="G262" s="13" t="inlineStr"/>
      <c r="H262" s="14" t="inlineStr"/>
      <c r="I262" s="14" t="inlineStr"/>
      <c r="J262" s="14" t="inlineStr"/>
      <c r="K262" s="14" t="inlineStr"/>
      <c r="L262" s="12" t="inlineStr"/>
      <c r="M262" s="12" t="inlineStr"/>
      <c r="N262" s="12" t="inlineStr"/>
      <c r="O262" s="12">
        <f>IF($N262="x","Korrekturlest",IF($M262="x","Ferdig",IF($L262="x","Mest ferdig",IF($J262&lt;&gt;"","Pågår","Ikke startet"))))</f>
        <v/>
      </c>
      <c r="P262" s="12" t="inlineStr">
        <is>
          <t>Ikke sendt</t>
        </is>
      </c>
      <c r="Q262" s="15">
        <f>IF($D262="","",IFERROR(VLOOKUP($O262,Lists!$A$2:$B$6,2,FALSE),0))</f>
        <v/>
      </c>
      <c r="R262" s="16">
        <f>IF($I262="","",$I262-TODAY())</f>
        <v/>
      </c>
      <c r="S262" s="12">
        <f>IF(AND($I262&lt;&gt;"",$I262&lt;TODAY(),NOT(OR($O262="Ferdig",$O262="Korrekturlest"))),"OVERDUE","")</f>
        <v/>
      </c>
      <c r="T262" s="12" t="inlineStr">
        <is>
          <t>Middels</t>
        </is>
      </c>
      <c r="U262" s="12" t="inlineStr"/>
      <c r="V262" s="12" t="inlineStr"/>
      <c r="W262" s="12" t="inlineStr"/>
      <c r="X262" s="14" t="inlineStr"/>
    </row>
    <row r="263" ht="20" customHeight="1">
      <c r="A263" s="12" t="inlineStr"/>
      <c r="B263" s="12" t="inlineStr"/>
      <c r="C263" s="12" t="inlineStr"/>
      <c r="D263" s="12" t="inlineStr"/>
      <c r="E263" s="6" t="inlineStr"/>
      <c r="F263" s="13" t="inlineStr"/>
      <c r="G263" s="13" t="inlineStr"/>
      <c r="H263" s="14" t="inlineStr"/>
      <c r="I263" s="14" t="inlineStr"/>
      <c r="J263" s="14" t="inlineStr"/>
      <c r="K263" s="14" t="inlineStr"/>
      <c r="L263" s="12" t="inlineStr"/>
      <c r="M263" s="12" t="inlineStr"/>
      <c r="N263" s="12" t="inlineStr"/>
      <c r="O263" s="12">
        <f>IF($N263="x","Korrekturlest",IF($M263="x","Ferdig",IF($L263="x","Mest ferdig",IF($J263&lt;&gt;"","Pågår","Ikke startet"))))</f>
        <v/>
      </c>
      <c r="P263" s="12" t="inlineStr">
        <is>
          <t>Ikke sendt</t>
        </is>
      </c>
      <c r="Q263" s="15">
        <f>IF($D263="","",IFERROR(VLOOKUP($O263,Lists!$A$2:$B$6,2,FALSE),0))</f>
        <v/>
      </c>
      <c r="R263" s="16">
        <f>IF($I263="","",$I263-TODAY())</f>
        <v/>
      </c>
      <c r="S263" s="12">
        <f>IF(AND($I263&lt;&gt;"",$I263&lt;TODAY(),NOT(OR($O263="Ferdig",$O263="Korrekturlest"))),"OVERDUE","")</f>
        <v/>
      </c>
      <c r="T263" s="12" t="inlineStr">
        <is>
          <t>Middels</t>
        </is>
      </c>
      <c r="U263" s="12" t="inlineStr"/>
      <c r="V263" s="12" t="inlineStr"/>
      <c r="W263" s="12" t="inlineStr"/>
      <c r="X263" s="14" t="inlineStr"/>
    </row>
    <row r="264" ht="20" customHeight="1">
      <c r="A264" s="12" t="inlineStr"/>
      <c r="B264" s="12" t="inlineStr"/>
      <c r="C264" s="12" t="inlineStr"/>
      <c r="D264" s="12" t="inlineStr"/>
      <c r="E264" s="6" t="inlineStr"/>
      <c r="F264" s="13" t="inlineStr"/>
      <c r="G264" s="13" t="inlineStr"/>
      <c r="H264" s="14" t="inlineStr"/>
      <c r="I264" s="14" t="inlineStr"/>
      <c r="J264" s="14" t="inlineStr"/>
      <c r="K264" s="14" t="inlineStr"/>
      <c r="L264" s="12" t="inlineStr"/>
      <c r="M264" s="12" t="inlineStr"/>
      <c r="N264" s="12" t="inlineStr"/>
      <c r="O264" s="12">
        <f>IF($N264="x","Korrekturlest",IF($M264="x","Ferdig",IF($L264="x","Mest ferdig",IF($J264&lt;&gt;"","Pågår","Ikke startet"))))</f>
        <v/>
      </c>
      <c r="P264" s="12" t="inlineStr">
        <is>
          <t>Ikke sendt</t>
        </is>
      </c>
      <c r="Q264" s="15">
        <f>IF($D264="","",IFERROR(VLOOKUP($O264,Lists!$A$2:$B$6,2,FALSE),0))</f>
        <v/>
      </c>
      <c r="R264" s="16">
        <f>IF($I264="","",$I264-TODAY())</f>
        <v/>
      </c>
      <c r="S264" s="12">
        <f>IF(AND($I264&lt;&gt;"",$I264&lt;TODAY(),NOT(OR($O264="Ferdig",$O264="Korrekturlest"))),"OVERDUE","")</f>
        <v/>
      </c>
      <c r="T264" s="12" t="inlineStr">
        <is>
          <t>Middels</t>
        </is>
      </c>
      <c r="U264" s="12" t="inlineStr"/>
      <c r="V264" s="12" t="inlineStr"/>
      <c r="W264" s="12" t="inlineStr"/>
      <c r="X264" s="14" t="inlineStr"/>
    </row>
    <row r="265" ht="20" customHeight="1">
      <c r="A265" s="12" t="inlineStr"/>
      <c r="B265" s="12" t="inlineStr"/>
      <c r="C265" s="12" t="inlineStr"/>
      <c r="D265" s="12" t="inlineStr"/>
      <c r="E265" s="6" t="inlineStr"/>
      <c r="F265" s="13" t="inlineStr"/>
      <c r="G265" s="13" t="inlineStr"/>
      <c r="H265" s="14" t="inlineStr"/>
      <c r="I265" s="14" t="inlineStr"/>
      <c r="J265" s="14" t="inlineStr"/>
      <c r="K265" s="14" t="inlineStr"/>
      <c r="L265" s="12" t="inlineStr"/>
      <c r="M265" s="12" t="inlineStr"/>
      <c r="N265" s="12" t="inlineStr"/>
      <c r="O265" s="12">
        <f>IF($N265="x","Korrekturlest",IF($M265="x","Ferdig",IF($L265="x","Mest ferdig",IF($J265&lt;&gt;"","Pågår","Ikke startet"))))</f>
        <v/>
      </c>
      <c r="P265" s="12" t="inlineStr">
        <is>
          <t>Ikke sendt</t>
        </is>
      </c>
      <c r="Q265" s="15">
        <f>IF($D265="","",IFERROR(VLOOKUP($O265,Lists!$A$2:$B$6,2,FALSE),0))</f>
        <v/>
      </c>
      <c r="R265" s="16">
        <f>IF($I265="","",$I265-TODAY())</f>
        <v/>
      </c>
      <c r="S265" s="12">
        <f>IF(AND($I265&lt;&gt;"",$I265&lt;TODAY(),NOT(OR($O265="Ferdig",$O265="Korrekturlest"))),"OVERDUE","")</f>
        <v/>
      </c>
      <c r="T265" s="12" t="inlineStr">
        <is>
          <t>Middels</t>
        </is>
      </c>
      <c r="U265" s="12" t="inlineStr"/>
      <c r="V265" s="12" t="inlineStr"/>
      <c r="W265" s="12" t="inlineStr"/>
      <c r="X265" s="14" t="inlineStr"/>
    </row>
    <row r="266" ht="20" customHeight="1">
      <c r="A266" s="12" t="inlineStr"/>
      <c r="B266" s="12" t="inlineStr"/>
      <c r="C266" s="12" t="inlineStr"/>
      <c r="D266" s="12" t="inlineStr"/>
      <c r="E266" s="6" t="inlineStr"/>
      <c r="F266" s="13" t="inlineStr"/>
      <c r="G266" s="13" t="inlineStr"/>
      <c r="H266" s="14" t="inlineStr"/>
      <c r="I266" s="14" t="inlineStr"/>
      <c r="J266" s="14" t="inlineStr"/>
      <c r="K266" s="14" t="inlineStr"/>
      <c r="L266" s="12" t="inlineStr"/>
      <c r="M266" s="12" t="inlineStr"/>
      <c r="N266" s="12" t="inlineStr"/>
      <c r="O266" s="12">
        <f>IF($N266="x","Korrekturlest",IF($M266="x","Ferdig",IF($L266="x","Mest ferdig",IF($J266&lt;&gt;"","Pågår","Ikke startet"))))</f>
        <v/>
      </c>
      <c r="P266" s="12" t="inlineStr">
        <is>
          <t>Ikke sendt</t>
        </is>
      </c>
      <c r="Q266" s="15">
        <f>IF($D266="","",IFERROR(VLOOKUP($O266,Lists!$A$2:$B$6,2,FALSE),0))</f>
        <v/>
      </c>
      <c r="R266" s="16">
        <f>IF($I266="","",$I266-TODAY())</f>
        <v/>
      </c>
      <c r="S266" s="12">
        <f>IF(AND($I266&lt;&gt;"",$I266&lt;TODAY(),NOT(OR($O266="Ferdig",$O266="Korrekturlest"))),"OVERDUE","")</f>
        <v/>
      </c>
      <c r="T266" s="12" t="inlineStr">
        <is>
          <t>Middels</t>
        </is>
      </c>
      <c r="U266" s="12" t="inlineStr"/>
      <c r="V266" s="12" t="inlineStr"/>
      <c r="W266" s="12" t="inlineStr"/>
      <c r="X266" s="14" t="inlineStr"/>
    </row>
    <row r="267" ht="20" customHeight="1">
      <c r="A267" s="12" t="inlineStr"/>
      <c r="B267" s="12" t="inlineStr"/>
      <c r="C267" s="12" t="inlineStr"/>
      <c r="D267" s="12" t="inlineStr"/>
      <c r="E267" s="6" t="inlineStr"/>
      <c r="F267" s="13" t="inlineStr"/>
      <c r="G267" s="13" t="inlineStr"/>
      <c r="H267" s="14" t="inlineStr"/>
      <c r="I267" s="14" t="inlineStr"/>
      <c r="J267" s="14" t="inlineStr"/>
      <c r="K267" s="14" t="inlineStr"/>
      <c r="L267" s="12" t="inlineStr"/>
      <c r="M267" s="12" t="inlineStr"/>
      <c r="N267" s="12" t="inlineStr"/>
      <c r="O267" s="12">
        <f>IF($N267="x","Korrekturlest",IF($M267="x","Ferdig",IF($L267="x","Mest ferdig",IF($J267&lt;&gt;"","Pågår","Ikke startet"))))</f>
        <v/>
      </c>
      <c r="P267" s="12" t="inlineStr">
        <is>
          <t>Ikke sendt</t>
        </is>
      </c>
      <c r="Q267" s="15">
        <f>IF($D267="","",IFERROR(VLOOKUP($O267,Lists!$A$2:$B$6,2,FALSE),0))</f>
        <v/>
      </c>
      <c r="R267" s="16">
        <f>IF($I267="","",$I267-TODAY())</f>
        <v/>
      </c>
      <c r="S267" s="12">
        <f>IF(AND($I267&lt;&gt;"",$I267&lt;TODAY(),NOT(OR($O267="Ferdig",$O267="Korrekturlest"))),"OVERDUE","")</f>
        <v/>
      </c>
      <c r="T267" s="12" t="inlineStr">
        <is>
          <t>Middels</t>
        </is>
      </c>
      <c r="U267" s="12" t="inlineStr"/>
      <c r="V267" s="12" t="inlineStr"/>
      <c r="W267" s="12" t="inlineStr"/>
      <c r="X267" s="14" t="inlineStr"/>
    </row>
    <row r="268" ht="20" customHeight="1">
      <c r="A268" s="12" t="inlineStr"/>
      <c r="B268" s="12" t="inlineStr"/>
      <c r="C268" s="12" t="inlineStr"/>
      <c r="D268" s="12" t="inlineStr"/>
      <c r="E268" s="6" t="inlineStr"/>
      <c r="F268" s="13" t="inlineStr"/>
      <c r="G268" s="13" t="inlineStr"/>
      <c r="H268" s="14" t="inlineStr"/>
      <c r="I268" s="14" t="inlineStr"/>
      <c r="J268" s="14" t="inlineStr"/>
      <c r="K268" s="14" t="inlineStr"/>
      <c r="L268" s="12" t="inlineStr"/>
      <c r="M268" s="12" t="inlineStr"/>
      <c r="N268" s="12" t="inlineStr"/>
      <c r="O268" s="12">
        <f>IF($N268="x","Korrekturlest",IF($M268="x","Ferdig",IF($L268="x","Mest ferdig",IF($J268&lt;&gt;"","Pågår","Ikke startet"))))</f>
        <v/>
      </c>
      <c r="P268" s="12" t="inlineStr">
        <is>
          <t>Ikke sendt</t>
        </is>
      </c>
      <c r="Q268" s="15">
        <f>IF($D268="","",IFERROR(VLOOKUP($O268,Lists!$A$2:$B$6,2,FALSE),0))</f>
        <v/>
      </c>
      <c r="R268" s="16">
        <f>IF($I268="","",$I268-TODAY())</f>
        <v/>
      </c>
      <c r="S268" s="12">
        <f>IF(AND($I268&lt;&gt;"",$I268&lt;TODAY(),NOT(OR($O268="Ferdig",$O268="Korrekturlest"))),"OVERDUE","")</f>
        <v/>
      </c>
      <c r="T268" s="12" t="inlineStr">
        <is>
          <t>Middels</t>
        </is>
      </c>
      <c r="U268" s="12" t="inlineStr"/>
      <c r="V268" s="12" t="inlineStr"/>
      <c r="W268" s="12" t="inlineStr"/>
      <c r="X268" s="14" t="inlineStr"/>
    </row>
    <row r="269" ht="20" customHeight="1">
      <c r="A269" s="12" t="inlineStr"/>
      <c r="B269" s="12" t="inlineStr"/>
      <c r="C269" s="12" t="inlineStr"/>
      <c r="D269" s="12" t="inlineStr"/>
      <c r="E269" s="6" t="inlineStr"/>
      <c r="F269" s="13" t="inlineStr"/>
      <c r="G269" s="13" t="inlineStr"/>
      <c r="H269" s="14" t="inlineStr"/>
      <c r="I269" s="14" t="inlineStr"/>
      <c r="J269" s="14" t="inlineStr"/>
      <c r="K269" s="14" t="inlineStr"/>
      <c r="L269" s="12" t="inlineStr"/>
      <c r="M269" s="12" t="inlineStr"/>
      <c r="N269" s="12" t="inlineStr"/>
      <c r="O269" s="12">
        <f>IF($N269="x","Korrekturlest",IF($M269="x","Ferdig",IF($L269="x","Mest ferdig",IF($J269&lt;&gt;"","Pågår","Ikke startet"))))</f>
        <v/>
      </c>
      <c r="P269" s="12" t="inlineStr">
        <is>
          <t>Ikke sendt</t>
        </is>
      </c>
      <c r="Q269" s="15">
        <f>IF($D269="","",IFERROR(VLOOKUP($O269,Lists!$A$2:$B$6,2,FALSE),0))</f>
        <v/>
      </c>
      <c r="R269" s="16">
        <f>IF($I269="","",$I269-TODAY())</f>
        <v/>
      </c>
      <c r="S269" s="12">
        <f>IF(AND($I269&lt;&gt;"",$I269&lt;TODAY(),NOT(OR($O269="Ferdig",$O269="Korrekturlest"))),"OVERDUE","")</f>
        <v/>
      </c>
      <c r="T269" s="12" t="inlineStr">
        <is>
          <t>Middels</t>
        </is>
      </c>
      <c r="U269" s="12" t="inlineStr"/>
      <c r="V269" s="12" t="inlineStr"/>
      <c r="W269" s="12" t="inlineStr"/>
      <c r="X269" s="14" t="inlineStr"/>
    </row>
    <row r="270" ht="20" customHeight="1">
      <c r="A270" s="12" t="inlineStr"/>
      <c r="B270" s="12" t="inlineStr"/>
      <c r="C270" s="12" t="inlineStr"/>
      <c r="D270" s="12" t="inlineStr"/>
      <c r="E270" s="6" t="inlineStr"/>
      <c r="F270" s="13" t="inlineStr"/>
      <c r="G270" s="13" t="inlineStr"/>
      <c r="H270" s="14" t="inlineStr"/>
      <c r="I270" s="14" t="inlineStr"/>
      <c r="J270" s="14" t="inlineStr"/>
      <c r="K270" s="14" t="inlineStr"/>
      <c r="L270" s="12" t="inlineStr"/>
      <c r="M270" s="12" t="inlineStr"/>
      <c r="N270" s="12" t="inlineStr"/>
      <c r="O270" s="12">
        <f>IF($N270="x","Korrekturlest",IF($M270="x","Ferdig",IF($L270="x","Mest ferdig",IF($J270&lt;&gt;"","Pågår","Ikke startet"))))</f>
        <v/>
      </c>
      <c r="P270" s="12" t="inlineStr">
        <is>
          <t>Ikke sendt</t>
        </is>
      </c>
      <c r="Q270" s="15">
        <f>IF($D270="","",IFERROR(VLOOKUP($O270,Lists!$A$2:$B$6,2,FALSE),0))</f>
        <v/>
      </c>
      <c r="R270" s="16">
        <f>IF($I270="","",$I270-TODAY())</f>
        <v/>
      </c>
      <c r="S270" s="12">
        <f>IF(AND($I270&lt;&gt;"",$I270&lt;TODAY(),NOT(OR($O270="Ferdig",$O270="Korrekturlest"))),"OVERDUE","")</f>
        <v/>
      </c>
      <c r="T270" s="12" t="inlineStr">
        <is>
          <t>Middels</t>
        </is>
      </c>
      <c r="U270" s="12" t="inlineStr"/>
      <c r="V270" s="12" t="inlineStr"/>
      <c r="W270" s="12" t="inlineStr"/>
      <c r="X270" s="14" t="inlineStr"/>
    </row>
    <row r="271" ht="20" customHeight="1">
      <c r="A271" s="12" t="inlineStr"/>
      <c r="B271" s="12" t="inlineStr"/>
      <c r="C271" s="12" t="inlineStr"/>
      <c r="D271" s="12" t="inlineStr"/>
      <c r="E271" s="6" t="inlineStr"/>
      <c r="F271" s="13" t="inlineStr"/>
      <c r="G271" s="13" t="inlineStr"/>
      <c r="H271" s="14" t="inlineStr"/>
      <c r="I271" s="14" t="inlineStr"/>
      <c r="J271" s="14" t="inlineStr"/>
      <c r="K271" s="14" t="inlineStr"/>
      <c r="L271" s="12" t="inlineStr"/>
      <c r="M271" s="12" t="inlineStr"/>
      <c r="N271" s="12" t="inlineStr"/>
      <c r="O271" s="12">
        <f>IF($N271="x","Korrekturlest",IF($M271="x","Ferdig",IF($L271="x","Mest ferdig",IF($J271&lt;&gt;"","Pågår","Ikke startet"))))</f>
        <v/>
      </c>
      <c r="P271" s="12" t="inlineStr">
        <is>
          <t>Ikke sendt</t>
        </is>
      </c>
      <c r="Q271" s="15">
        <f>IF($D271="","",IFERROR(VLOOKUP($O271,Lists!$A$2:$B$6,2,FALSE),0))</f>
        <v/>
      </c>
      <c r="R271" s="16">
        <f>IF($I271="","",$I271-TODAY())</f>
        <v/>
      </c>
      <c r="S271" s="12">
        <f>IF(AND($I271&lt;&gt;"",$I271&lt;TODAY(),NOT(OR($O271="Ferdig",$O271="Korrekturlest"))),"OVERDUE","")</f>
        <v/>
      </c>
      <c r="T271" s="12" t="inlineStr">
        <is>
          <t>Middels</t>
        </is>
      </c>
      <c r="U271" s="12" t="inlineStr"/>
      <c r="V271" s="12" t="inlineStr"/>
      <c r="W271" s="12" t="inlineStr"/>
      <c r="X271" s="14" t="inlineStr"/>
    </row>
    <row r="272" ht="20" customHeight="1">
      <c r="A272" s="12" t="inlineStr"/>
      <c r="B272" s="12" t="inlineStr"/>
      <c r="C272" s="12" t="inlineStr"/>
      <c r="D272" s="12" t="inlineStr"/>
      <c r="E272" s="6" t="inlineStr"/>
      <c r="F272" s="13" t="inlineStr"/>
      <c r="G272" s="13" t="inlineStr"/>
      <c r="H272" s="14" t="inlineStr"/>
      <c r="I272" s="14" t="inlineStr"/>
      <c r="J272" s="14" t="inlineStr"/>
      <c r="K272" s="14" t="inlineStr"/>
      <c r="L272" s="12" t="inlineStr"/>
      <c r="M272" s="12" t="inlineStr"/>
      <c r="N272" s="12" t="inlineStr"/>
      <c r="O272" s="12">
        <f>IF($N272="x","Korrekturlest",IF($M272="x","Ferdig",IF($L272="x","Mest ferdig",IF($J272&lt;&gt;"","Pågår","Ikke startet"))))</f>
        <v/>
      </c>
      <c r="P272" s="12" t="inlineStr">
        <is>
          <t>Ikke sendt</t>
        </is>
      </c>
      <c r="Q272" s="15">
        <f>IF($D272="","",IFERROR(VLOOKUP($O272,Lists!$A$2:$B$6,2,FALSE),0))</f>
        <v/>
      </c>
      <c r="R272" s="16">
        <f>IF($I272="","",$I272-TODAY())</f>
        <v/>
      </c>
      <c r="S272" s="12">
        <f>IF(AND($I272&lt;&gt;"",$I272&lt;TODAY(),NOT(OR($O272="Ferdig",$O272="Korrekturlest"))),"OVERDUE","")</f>
        <v/>
      </c>
      <c r="T272" s="12" t="inlineStr">
        <is>
          <t>Middels</t>
        </is>
      </c>
      <c r="U272" s="12" t="inlineStr"/>
      <c r="V272" s="12" t="inlineStr"/>
      <c r="W272" s="12" t="inlineStr"/>
      <c r="X272" s="14" t="inlineStr"/>
    </row>
    <row r="273" ht="20" customHeight="1">
      <c r="A273" s="12" t="inlineStr"/>
      <c r="B273" s="12" t="inlineStr"/>
      <c r="C273" s="12" t="inlineStr"/>
      <c r="D273" s="12" t="inlineStr"/>
      <c r="E273" s="6" t="inlineStr"/>
      <c r="F273" s="13" t="inlineStr"/>
      <c r="G273" s="13" t="inlineStr"/>
      <c r="H273" s="14" t="inlineStr"/>
      <c r="I273" s="14" t="inlineStr"/>
      <c r="J273" s="14" t="inlineStr"/>
      <c r="K273" s="14" t="inlineStr"/>
      <c r="L273" s="12" t="inlineStr"/>
      <c r="M273" s="12" t="inlineStr"/>
      <c r="N273" s="12" t="inlineStr"/>
      <c r="O273" s="12">
        <f>IF($N273="x","Korrekturlest",IF($M273="x","Ferdig",IF($L273="x","Mest ferdig",IF($J273&lt;&gt;"","Pågår","Ikke startet"))))</f>
        <v/>
      </c>
      <c r="P273" s="12" t="inlineStr">
        <is>
          <t>Ikke sendt</t>
        </is>
      </c>
      <c r="Q273" s="15">
        <f>IF($D273="","",IFERROR(VLOOKUP($O273,Lists!$A$2:$B$6,2,FALSE),0))</f>
        <v/>
      </c>
      <c r="R273" s="16">
        <f>IF($I273="","",$I273-TODAY())</f>
        <v/>
      </c>
      <c r="S273" s="12">
        <f>IF(AND($I273&lt;&gt;"",$I273&lt;TODAY(),NOT(OR($O273="Ferdig",$O273="Korrekturlest"))),"OVERDUE","")</f>
        <v/>
      </c>
      <c r="T273" s="12" t="inlineStr">
        <is>
          <t>Middels</t>
        </is>
      </c>
      <c r="U273" s="12" t="inlineStr"/>
      <c r="V273" s="12" t="inlineStr"/>
      <c r="W273" s="12" t="inlineStr"/>
      <c r="X273" s="14" t="inlineStr"/>
    </row>
    <row r="274" ht="20" customHeight="1">
      <c r="A274" s="12" t="inlineStr"/>
      <c r="B274" s="12" t="inlineStr"/>
      <c r="C274" s="12" t="inlineStr"/>
      <c r="D274" s="12" t="inlineStr"/>
      <c r="E274" s="6" t="inlineStr"/>
      <c r="F274" s="13" t="inlineStr"/>
      <c r="G274" s="13" t="inlineStr"/>
      <c r="H274" s="14" t="inlineStr"/>
      <c r="I274" s="14" t="inlineStr"/>
      <c r="J274" s="14" t="inlineStr"/>
      <c r="K274" s="14" t="inlineStr"/>
      <c r="L274" s="12" t="inlineStr"/>
      <c r="M274" s="12" t="inlineStr"/>
      <c r="N274" s="12" t="inlineStr"/>
      <c r="O274" s="12">
        <f>IF($N274="x","Korrekturlest",IF($M274="x","Ferdig",IF($L274="x","Mest ferdig",IF($J274&lt;&gt;"","Pågår","Ikke startet"))))</f>
        <v/>
      </c>
      <c r="P274" s="12" t="inlineStr">
        <is>
          <t>Ikke sendt</t>
        </is>
      </c>
      <c r="Q274" s="15">
        <f>IF($D274="","",IFERROR(VLOOKUP($O274,Lists!$A$2:$B$6,2,FALSE),0))</f>
        <v/>
      </c>
      <c r="R274" s="16">
        <f>IF($I274="","",$I274-TODAY())</f>
        <v/>
      </c>
      <c r="S274" s="12">
        <f>IF(AND($I274&lt;&gt;"",$I274&lt;TODAY(),NOT(OR($O274="Ferdig",$O274="Korrekturlest"))),"OVERDUE","")</f>
        <v/>
      </c>
      <c r="T274" s="12" t="inlineStr">
        <is>
          <t>Middels</t>
        </is>
      </c>
      <c r="U274" s="12" t="inlineStr"/>
      <c r="V274" s="12" t="inlineStr"/>
      <c r="W274" s="12" t="inlineStr"/>
      <c r="X274" s="14" t="inlineStr"/>
    </row>
    <row r="275" ht="20" customHeight="1">
      <c r="A275" s="12" t="inlineStr"/>
      <c r="B275" s="12" t="inlineStr"/>
      <c r="C275" s="12" t="inlineStr"/>
      <c r="D275" s="12" t="inlineStr"/>
      <c r="E275" s="6" t="inlineStr"/>
      <c r="F275" s="13" t="inlineStr"/>
      <c r="G275" s="13" t="inlineStr"/>
      <c r="H275" s="14" t="inlineStr"/>
      <c r="I275" s="14" t="inlineStr"/>
      <c r="J275" s="14" t="inlineStr"/>
      <c r="K275" s="14" t="inlineStr"/>
      <c r="L275" s="12" t="inlineStr"/>
      <c r="M275" s="12" t="inlineStr"/>
      <c r="N275" s="12" t="inlineStr"/>
      <c r="O275" s="12">
        <f>IF($N275="x","Korrekturlest",IF($M275="x","Ferdig",IF($L275="x","Mest ferdig",IF($J275&lt;&gt;"","Pågår","Ikke startet"))))</f>
        <v/>
      </c>
      <c r="P275" s="12" t="inlineStr">
        <is>
          <t>Ikke sendt</t>
        </is>
      </c>
      <c r="Q275" s="15">
        <f>IF($D275="","",IFERROR(VLOOKUP($O275,Lists!$A$2:$B$6,2,FALSE),0))</f>
        <v/>
      </c>
      <c r="R275" s="16">
        <f>IF($I275="","",$I275-TODAY())</f>
        <v/>
      </c>
      <c r="S275" s="12">
        <f>IF(AND($I275&lt;&gt;"",$I275&lt;TODAY(),NOT(OR($O275="Ferdig",$O275="Korrekturlest"))),"OVERDUE","")</f>
        <v/>
      </c>
      <c r="T275" s="12" t="inlineStr">
        <is>
          <t>Middels</t>
        </is>
      </c>
      <c r="U275" s="12" t="inlineStr"/>
      <c r="V275" s="12" t="inlineStr"/>
      <c r="W275" s="12" t="inlineStr"/>
      <c r="X275" s="14" t="inlineStr"/>
    </row>
    <row r="276" ht="20" customHeight="1">
      <c r="A276" s="12" t="inlineStr"/>
      <c r="B276" s="12" t="inlineStr"/>
      <c r="C276" s="12" t="inlineStr"/>
      <c r="D276" s="12" t="inlineStr"/>
      <c r="E276" s="6" t="inlineStr"/>
      <c r="F276" s="13" t="inlineStr"/>
      <c r="G276" s="13" t="inlineStr"/>
      <c r="H276" s="14" t="inlineStr"/>
      <c r="I276" s="14" t="inlineStr"/>
      <c r="J276" s="14" t="inlineStr"/>
      <c r="K276" s="14" t="inlineStr"/>
      <c r="L276" s="12" t="inlineStr"/>
      <c r="M276" s="12" t="inlineStr"/>
      <c r="N276" s="12" t="inlineStr"/>
      <c r="O276" s="12">
        <f>IF($N276="x","Korrekturlest",IF($M276="x","Ferdig",IF($L276="x","Mest ferdig",IF($J276&lt;&gt;"","Pågår","Ikke startet"))))</f>
        <v/>
      </c>
      <c r="P276" s="12" t="inlineStr">
        <is>
          <t>Ikke sendt</t>
        </is>
      </c>
      <c r="Q276" s="15">
        <f>IF($D276="","",IFERROR(VLOOKUP($O276,Lists!$A$2:$B$6,2,FALSE),0))</f>
        <v/>
      </c>
      <c r="R276" s="16">
        <f>IF($I276="","",$I276-TODAY())</f>
        <v/>
      </c>
      <c r="S276" s="12">
        <f>IF(AND($I276&lt;&gt;"",$I276&lt;TODAY(),NOT(OR($O276="Ferdig",$O276="Korrekturlest"))),"OVERDUE","")</f>
        <v/>
      </c>
      <c r="T276" s="12" t="inlineStr">
        <is>
          <t>Middels</t>
        </is>
      </c>
      <c r="U276" s="12" t="inlineStr"/>
      <c r="V276" s="12" t="inlineStr"/>
      <c r="W276" s="12" t="inlineStr"/>
      <c r="X276" s="14" t="inlineStr"/>
    </row>
    <row r="277" ht="20" customHeight="1">
      <c r="A277" s="12" t="inlineStr"/>
      <c r="B277" s="12" t="inlineStr"/>
      <c r="C277" s="12" t="inlineStr"/>
      <c r="D277" s="12" t="inlineStr"/>
      <c r="E277" s="6" t="inlineStr"/>
      <c r="F277" s="13" t="inlineStr"/>
      <c r="G277" s="13" t="inlineStr"/>
      <c r="H277" s="14" t="inlineStr"/>
      <c r="I277" s="14" t="inlineStr"/>
      <c r="J277" s="14" t="inlineStr"/>
      <c r="K277" s="14" t="inlineStr"/>
      <c r="L277" s="12" t="inlineStr"/>
      <c r="M277" s="12" t="inlineStr"/>
      <c r="N277" s="12" t="inlineStr"/>
      <c r="O277" s="12">
        <f>IF($N277="x","Korrekturlest",IF($M277="x","Ferdig",IF($L277="x","Mest ferdig",IF($J277&lt;&gt;"","Pågår","Ikke startet"))))</f>
        <v/>
      </c>
      <c r="P277" s="12" t="inlineStr">
        <is>
          <t>Ikke sendt</t>
        </is>
      </c>
      <c r="Q277" s="15">
        <f>IF($D277="","",IFERROR(VLOOKUP($O277,Lists!$A$2:$B$6,2,FALSE),0))</f>
        <v/>
      </c>
      <c r="R277" s="16">
        <f>IF($I277="","",$I277-TODAY())</f>
        <v/>
      </c>
      <c r="S277" s="12">
        <f>IF(AND($I277&lt;&gt;"",$I277&lt;TODAY(),NOT(OR($O277="Ferdig",$O277="Korrekturlest"))),"OVERDUE","")</f>
        <v/>
      </c>
      <c r="T277" s="12" t="inlineStr">
        <is>
          <t>Middels</t>
        </is>
      </c>
      <c r="U277" s="12" t="inlineStr"/>
      <c r="V277" s="12" t="inlineStr"/>
      <c r="W277" s="12" t="inlineStr"/>
      <c r="X277" s="14" t="inlineStr"/>
    </row>
    <row r="278" ht="20" customHeight="1">
      <c r="A278" s="12" t="inlineStr"/>
      <c r="B278" s="12" t="inlineStr"/>
      <c r="C278" s="12" t="inlineStr"/>
      <c r="D278" s="12" t="inlineStr"/>
      <c r="E278" s="6" t="inlineStr"/>
      <c r="F278" s="13" t="inlineStr"/>
      <c r="G278" s="13" t="inlineStr"/>
      <c r="H278" s="14" t="inlineStr"/>
      <c r="I278" s="14" t="inlineStr"/>
      <c r="J278" s="14" t="inlineStr"/>
      <c r="K278" s="14" t="inlineStr"/>
      <c r="L278" s="12" t="inlineStr"/>
      <c r="M278" s="12" t="inlineStr"/>
      <c r="N278" s="12" t="inlineStr"/>
      <c r="O278" s="12">
        <f>IF($N278="x","Korrekturlest",IF($M278="x","Ferdig",IF($L278="x","Mest ferdig",IF($J278&lt;&gt;"","Pågår","Ikke startet"))))</f>
        <v/>
      </c>
      <c r="P278" s="12" t="inlineStr">
        <is>
          <t>Ikke sendt</t>
        </is>
      </c>
      <c r="Q278" s="15">
        <f>IF($D278="","",IFERROR(VLOOKUP($O278,Lists!$A$2:$B$6,2,FALSE),0))</f>
        <v/>
      </c>
      <c r="R278" s="16">
        <f>IF($I278="","",$I278-TODAY())</f>
        <v/>
      </c>
      <c r="S278" s="12">
        <f>IF(AND($I278&lt;&gt;"",$I278&lt;TODAY(),NOT(OR($O278="Ferdig",$O278="Korrekturlest"))),"OVERDUE","")</f>
        <v/>
      </c>
      <c r="T278" s="12" t="inlineStr">
        <is>
          <t>Middels</t>
        </is>
      </c>
      <c r="U278" s="12" t="inlineStr"/>
      <c r="V278" s="12" t="inlineStr"/>
      <c r="W278" s="12" t="inlineStr"/>
      <c r="X278" s="14" t="inlineStr"/>
    </row>
    <row r="279" ht="20" customHeight="1">
      <c r="A279" s="12" t="inlineStr"/>
      <c r="B279" s="12" t="inlineStr"/>
      <c r="C279" s="12" t="inlineStr"/>
      <c r="D279" s="12" t="inlineStr"/>
      <c r="E279" s="6" t="inlineStr"/>
      <c r="F279" s="13" t="inlineStr"/>
      <c r="G279" s="13" t="inlineStr"/>
      <c r="H279" s="14" t="inlineStr"/>
      <c r="I279" s="14" t="inlineStr"/>
      <c r="J279" s="14" t="inlineStr"/>
      <c r="K279" s="14" t="inlineStr"/>
      <c r="L279" s="12" t="inlineStr"/>
      <c r="M279" s="12" t="inlineStr"/>
      <c r="N279" s="12" t="inlineStr"/>
      <c r="O279" s="12">
        <f>IF($N279="x","Korrekturlest",IF($M279="x","Ferdig",IF($L279="x","Mest ferdig",IF($J279&lt;&gt;"","Pågår","Ikke startet"))))</f>
        <v/>
      </c>
      <c r="P279" s="12" t="inlineStr">
        <is>
          <t>Ikke sendt</t>
        </is>
      </c>
      <c r="Q279" s="15">
        <f>IF($D279="","",IFERROR(VLOOKUP($O279,Lists!$A$2:$B$6,2,FALSE),0))</f>
        <v/>
      </c>
      <c r="R279" s="16">
        <f>IF($I279="","",$I279-TODAY())</f>
        <v/>
      </c>
      <c r="S279" s="12">
        <f>IF(AND($I279&lt;&gt;"",$I279&lt;TODAY(),NOT(OR($O279="Ferdig",$O279="Korrekturlest"))),"OVERDUE","")</f>
        <v/>
      </c>
      <c r="T279" s="12" t="inlineStr">
        <is>
          <t>Middels</t>
        </is>
      </c>
      <c r="U279" s="12" t="inlineStr"/>
      <c r="V279" s="12" t="inlineStr"/>
      <c r="W279" s="12" t="inlineStr"/>
      <c r="X279" s="14" t="inlineStr"/>
    </row>
    <row r="280" ht="20" customHeight="1">
      <c r="A280" s="12" t="inlineStr"/>
      <c r="B280" s="12" t="inlineStr"/>
      <c r="C280" s="12" t="inlineStr"/>
      <c r="D280" s="12" t="inlineStr"/>
      <c r="E280" s="6" t="inlineStr"/>
      <c r="F280" s="13" t="inlineStr"/>
      <c r="G280" s="13" t="inlineStr"/>
      <c r="H280" s="14" t="inlineStr"/>
      <c r="I280" s="14" t="inlineStr"/>
      <c r="J280" s="14" t="inlineStr"/>
      <c r="K280" s="14" t="inlineStr"/>
      <c r="L280" s="12" t="inlineStr"/>
      <c r="M280" s="12" t="inlineStr"/>
      <c r="N280" s="12" t="inlineStr"/>
      <c r="O280" s="12">
        <f>IF($N280="x","Korrekturlest",IF($M280="x","Ferdig",IF($L280="x","Mest ferdig",IF($J280&lt;&gt;"","Pågår","Ikke startet"))))</f>
        <v/>
      </c>
      <c r="P280" s="12" t="inlineStr">
        <is>
          <t>Ikke sendt</t>
        </is>
      </c>
      <c r="Q280" s="15">
        <f>IF($D280="","",IFERROR(VLOOKUP($O280,Lists!$A$2:$B$6,2,FALSE),0))</f>
        <v/>
      </c>
      <c r="R280" s="16">
        <f>IF($I280="","",$I280-TODAY())</f>
        <v/>
      </c>
      <c r="S280" s="12">
        <f>IF(AND($I280&lt;&gt;"",$I280&lt;TODAY(),NOT(OR($O280="Ferdig",$O280="Korrekturlest"))),"OVERDUE","")</f>
        <v/>
      </c>
      <c r="T280" s="12" t="inlineStr">
        <is>
          <t>Middels</t>
        </is>
      </c>
      <c r="U280" s="12" t="inlineStr"/>
      <c r="V280" s="12" t="inlineStr"/>
      <c r="W280" s="12" t="inlineStr"/>
      <c r="X280" s="14" t="inlineStr"/>
    </row>
    <row r="281" ht="20" customHeight="1">
      <c r="A281" s="12" t="inlineStr"/>
      <c r="B281" s="12" t="inlineStr"/>
      <c r="C281" s="12" t="inlineStr"/>
      <c r="D281" s="12" t="inlineStr"/>
      <c r="E281" s="6" t="inlineStr"/>
      <c r="F281" s="13" t="inlineStr"/>
      <c r="G281" s="13" t="inlineStr"/>
      <c r="H281" s="14" t="inlineStr"/>
      <c r="I281" s="14" t="inlineStr"/>
      <c r="J281" s="14" t="inlineStr"/>
      <c r="K281" s="14" t="inlineStr"/>
      <c r="L281" s="12" t="inlineStr"/>
      <c r="M281" s="12" t="inlineStr"/>
      <c r="N281" s="12" t="inlineStr"/>
      <c r="O281" s="12">
        <f>IF($N281="x","Korrekturlest",IF($M281="x","Ferdig",IF($L281="x","Mest ferdig",IF($J281&lt;&gt;"","Pågår","Ikke startet"))))</f>
        <v/>
      </c>
      <c r="P281" s="12" t="inlineStr">
        <is>
          <t>Ikke sendt</t>
        </is>
      </c>
      <c r="Q281" s="15">
        <f>IF($D281="","",IFERROR(VLOOKUP($O281,Lists!$A$2:$B$6,2,FALSE),0))</f>
        <v/>
      </c>
      <c r="R281" s="16">
        <f>IF($I281="","",$I281-TODAY())</f>
        <v/>
      </c>
      <c r="S281" s="12">
        <f>IF(AND($I281&lt;&gt;"",$I281&lt;TODAY(),NOT(OR($O281="Ferdig",$O281="Korrekturlest"))),"OVERDUE","")</f>
        <v/>
      </c>
      <c r="T281" s="12" t="inlineStr">
        <is>
          <t>Middels</t>
        </is>
      </c>
      <c r="U281" s="12" t="inlineStr"/>
      <c r="V281" s="12" t="inlineStr"/>
      <c r="W281" s="12" t="inlineStr"/>
      <c r="X281" s="14" t="inlineStr"/>
    </row>
    <row r="282" ht="20" customHeight="1">
      <c r="A282" s="12" t="inlineStr"/>
      <c r="B282" s="12" t="inlineStr"/>
      <c r="C282" s="12" t="inlineStr"/>
      <c r="D282" s="12" t="inlineStr"/>
      <c r="E282" s="6" t="inlineStr"/>
      <c r="F282" s="13" t="inlineStr"/>
      <c r="G282" s="13" t="inlineStr"/>
      <c r="H282" s="14" t="inlineStr"/>
      <c r="I282" s="14" t="inlineStr"/>
      <c r="J282" s="14" t="inlineStr"/>
      <c r="K282" s="14" t="inlineStr"/>
      <c r="L282" s="12" t="inlineStr"/>
      <c r="M282" s="12" t="inlineStr"/>
      <c r="N282" s="12" t="inlineStr"/>
      <c r="O282" s="12">
        <f>IF($N282="x","Korrekturlest",IF($M282="x","Ferdig",IF($L282="x","Mest ferdig",IF($J282&lt;&gt;"","Pågår","Ikke startet"))))</f>
        <v/>
      </c>
      <c r="P282" s="12" t="inlineStr">
        <is>
          <t>Ikke sendt</t>
        </is>
      </c>
      <c r="Q282" s="15">
        <f>IF($D282="","",IFERROR(VLOOKUP($O282,Lists!$A$2:$B$6,2,FALSE),0))</f>
        <v/>
      </c>
      <c r="R282" s="16">
        <f>IF($I282="","",$I282-TODAY())</f>
        <v/>
      </c>
      <c r="S282" s="12">
        <f>IF(AND($I282&lt;&gt;"",$I282&lt;TODAY(),NOT(OR($O282="Ferdig",$O282="Korrekturlest"))),"OVERDUE","")</f>
        <v/>
      </c>
      <c r="T282" s="12" t="inlineStr">
        <is>
          <t>Middels</t>
        </is>
      </c>
      <c r="U282" s="12" t="inlineStr"/>
      <c r="V282" s="12" t="inlineStr"/>
      <c r="W282" s="12" t="inlineStr"/>
      <c r="X282" s="14" t="inlineStr"/>
    </row>
    <row r="283" ht="20" customHeight="1">
      <c r="A283" s="12" t="inlineStr"/>
      <c r="B283" s="12" t="inlineStr"/>
      <c r="C283" s="12" t="inlineStr"/>
      <c r="D283" s="12" t="inlineStr"/>
      <c r="E283" s="6" t="inlineStr"/>
      <c r="F283" s="13" t="inlineStr"/>
      <c r="G283" s="13" t="inlineStr"/>
      <c r="H283" s="14" t="inlineStr"/>
      <c r="I283" s="14" t="inlineStr"/>
      <c r="J283" s="14" t="inlineStr"/>
      <c r="K283" s="14" t="inlineStr"/>
      <c r="L283" s="12" t="inlineStr"/>
      <c r="M283" s="12" t="inlineStr"/>
      <c r="N283" s="12" t="inlineStr"/>
      <c r="O283" s="12">
        <f>IF($N283="x","Korrekturlest",IF($M283="x","Ferdig",IF($L283="x","Mest ferdig",IF($J283&lt;&gt;"","Pågår","Ikke startet"))))</f>
        <v/>
      </c>
      <c r="P283" s="12" t="inlineStr">
        <is>
          <t>Ikke sendt</t>
        </is>
      </c>
      <c r="Q283" s="15">
        <f>IF($D283="","",IFERROR(VLOOKUP($O283,Lists!$A$2:$B$6,2,FALSE),0))</f>
        <v/>
      </c>
      <c r="R283" s="16">
        <f>IF($I283="","",$I283-TODAY())</f>
        <v/>
      </c>
      <c r="S283" s="12">
        <f>IF(AND($I283&lt;&gt;"",$I283&lt;TODAY(),NOT(OR($O283="Ferdig",$O283="Korrekturlest"))),"OVERDUE","")</f>
        <v/>
      </c>
      <c r="T283" s="12" t="inlineStr">
        <is>
          <t>Middels</t>
        </is>
      </c>
      <c r="U283" s="12" t="inlineStr"/>
      <c r="V283" s="12" t="inlineStr"/>
      <c r="W283" s="12" t="inlineStr"/>
      <c r="X283" s="14" t="inlineStr"/>
    </row>
    <row r="284" ht="20" customHeight="1">
      <c r="A284" s="12" t="inlineStr"/>
      <c r="B284" s="12" t="inlineStr"/>
      <c r="C284" s="12" t="inlineStr"/>
      <c r="D284" s="12" t="inlineStr"/>
      <c r="E284" s="6" t="inlineStr"/>
      <c r="F284" s="13" t="inlineStr"/>
      <c r="G284" s="13" t="inlineStr"/>
      <c r="H284" s="14" t="inlineStr"/>
      <c r="I284" s="14" t="inlineStr"/>
      <c r="J284" s="14" t="inlineStr"/>
      <c r="K284" s="14" t="inlineStr"/>
      <c r="L284" s="12" t="inlineStr"/>
      <c r="M284" s="12" t="inlineStr"/>
      <c r="N284" s="12" t="inlineStr"/>
      <c r="O284" s="12">
        <f>IF($N284="x","Korrekturlest",IF($M284="x","Ferdig",IF($L284="x","Mest ferdig",IF($J284&lt;&gt;"","Pågår","Ikke startet"))))</f>
        <v/>
      </c>
      <c r="P284" s="12" t="inlineStr">
        <is>
          <t>Ikke sendt</t>
        </is>
      </c>
      <c r="Q284" s="15">
        <f>IF($D284="","",IFERROR(VLOOKUP($O284,Lists!$A$2:$B$6,2,FALSE),0))</f>
        <v/>
      </c>
      <c r="R284" s="16">
        <f>IF($I284="","",$I284-TODAY())</f>
        <v/>
      </c>
      <c r="S284" s="12">
        <f>IF(AND($I284&lt;&gt;"",$I284&lt;TODAY(),NOT(OR($O284="Ferdig",$O284="Korrekturlest"))),"OVERDUE","")</f>
        <v/>
      </c>
      <c r="T284" s="12" t="inlineStr">
        <is>
          <t>Middels</t>
        </is>
      </c>
      <c r="U284" s="12" t="inlineStr"/>
      <c r="V284" s="12" t="inlineStr"/>
      <c r="W284" s="12" t="inlineStr"/>
      <c r="X284" s="14" t="inlineStr"/>
    </row>
    <row r="285" ht="20" customHeight="1">
      <c r="A285" s="12" t="inlineStr"/>
      <c r="B285" s="12" t="inlineStr"/>
      <c r="C285" s="12" t="inlineStr"/>
      <c r="D285" s="12" t="inlineStr"/>
      <c r="E285" s="6" t="inlineStr"/>
      <c r="F285" s="13" t="inlineStr"/>
      <c r="G285" s="13" t="inlineStr"/>
      <c r="H285" s="14" t="inlineStr"/>
      <c r="I285" s="14" t="inlineStr"/>
      <c r="J285" s="14" t="inlineStr"/>
      <c r="K285" s="14" t="inlineStr"/>
      <c r="L285" s="12" t="inlineStr"/>
      <c r="M285" s="12" t="inlineStr"/>
      <c r="N285" s="12" t="inlineStr"/>
      <c r="O285" s="12">
        <f>IF($N285="x","Korrekturlest",IF($M285="x","Ferdig",IF($L285="x","Mest ferdig",IF($J285&lt;&gt;"","Pågår","Ikke startet"))))</f>
        <v/>
      </c>
      <c r="P285" s="12" t="inlineStr">
        <is>
          <t>Ikke sendt</t>
        </is>
      </c>
      <c r="Q285" s="15">
        <f>IF($D285="","",IFERROR(VLOOKUP($O285,Lists!$A$2:$B$6,2,FALSE),0))</f>
        <v/>
      </c>
      <c r="R285" s="16">
        <f>IF($I285="","",$I285-TODAY())</f>
        <v/>
      </c>
      <c r="S285" s="12">
        <f>IF(AND($I285&lt;&gt;"",$I285&lt;TODAY(),NOT(OR($O285="Ferdig",$O285="Korrekturlest"))),"OVERDUE","")</f>
        <v/>
      </c>
      <c r="T285" s="12" t="inlineStr">
        <is>
          <t>Middels</t>
        </is>
      </c>
      <c r="U285" s="12" t="inlineStr"/>
      <c r="V285" s="12" t="inlineStr"/>
      <c r="W285" s="12" t="inlineStr"/>
      <c r="X285" s="14" t="inlineStr"/>
    </row>
    <row r="286" ht="20" customHeight="1">
      <c r="A286" s="12" t="inlineStr"/>
      <c r="B286" s="12" t="inlineStr"/>
      <c r="C286" s="12" t="inlineStr"/>
      <c r="D286" s="12" t="inlineStr"/>
      <c r="E286" s="6" t="inlineStr"/>
      <c r="F286" s="13" t="inlineStr"/>
      <c r="G286" s="13" t="inlineStr"/>
      <c r="H286" s="14" t="inlineStr"/>
      <c r="I286" s="14" t="inlineStr"/>
      <c r="J286" s="14" t="inlineStr"/>
      <c r="K286" s="14" t="inlineStr"/>
      <c r="L286" s="12" t="inlineStr"/>
      <c r="M286" s="12" t="inlineStr"/>
      <c r="N286" s="12" t="inlineStr"/>
      <c r="O286" s="12">
        <f>IF($N286="x","Korrekturlest",IF($M286="x","Ferdig",IF($L286="x","Mest ferdig",IF($J286&lt;&gt;"","Pågår","Ikke startet"))))</f>
        <v/>
      </c>
      <c r="P286" s="12" t="inlineStr">
        <is>
          <t>Ikke sendt</t>
        </is>
      </c>
      <c r="Q286" s="15">
        <f>IF($D286="","",IFERROR(VLOOKUP($O286,Lists!$A$2:$B$6,2,FALSE),0))</f>
        <v/>
      </c>
      <c r="R286" s="16">
        <f>IF($I286="","",$I286-TODAY())</f>
        <v/>
      </c>
      <c r="S286" s="12">
        <f>IF(AND($I286&lt;&gt;"",$I286&lt;TODAY(),NOT(OR($O286="Ferdig",$O286="Korrekturlest"))),"OVERDUE","")</f>
        <v/>
      </c>
      <c r="T286" s="12" t="inlineStr">
        <is>
          <t>Middels</t>
        </is>
      </c>
      <c r="U286" s="12" t="inlineStr"/>
      <c r="V286" s="12" t="inlineStr"/>
      <c r="W286" s="12" t="inlineStr"/>
      <c r="X286" s="14" t="inlineStr"/>
    </row>
    <row r="287" ht="20" customHeight="1">
      <c r="A287" s="12" t="inlineStr"/>
      <c r="B287" s="12" t="inlineStr"/>
      <c r="C287" s="12" t="inlineStr"/>
      <c r="D287" s="12" t="inlineStr"/>
      <c r="E287" s="6" t="inlineStr"/>
      <c r="F287" s="13" t="inlineStr"/>
      <c r="G287" s="13" t="inlineStr"/>
      <c r="H287" s="14" t="inlineStr"/>
      <c r="I287" s="14" t="inlineStr"/>
      <c r="J287" s="14" t="inlineStr"/>
      <c r="K287" s="14" t="inlineStr"/>
      <c r="L287" s="12" t="inlineStr"/>
      <c r="M287" s="12" t="inlineStr"/>
      <c r="N287" s="12" t="inlineStr"/>
      <c r="O287" s="12">
        <f>IF($N287="x","Korrekturlest",IF($M287="x","Ferdig",IF($L287="x","Mest ferdig",IF($J287&lt;&gt;"","Pågår","Ikke startet"))))</f>
        <v/>
      </c>
      <c r="P287" s="12" t="inlineStr">
        <is>
          <t>Ikke sendt</t>
        </is>
      </c>
      <c r="Q287" s="15">
        <f>IF($D287="","",IFERROR(VLOOKUP($O287,Lists!$A$2:$B$6,2,FALSE),0))</f>
        <v/>
      </c>
      <c r="R287" s="16">
        <f>IF($I287="","",$I287-TODAY())</f>
        <v/>
      </c>
      <c r="S287" s="12">
        <f>IF(AND($I287&lt;&gt;"",$I287&lt;TODAY(),NOT(OR($O287="Ferdig",$O287="Korrekturlest"))),"OVERDUE","")</f>
        <v/>
      </c>
      <c r="T287" s="12" t="inlineStr">
        <is>
          <t>Middels</t>
        </is>
      </c>
      <c r="U287" s="12" t="inlineStr"/>
      <c r="V287" s="12" t="inlineStr"/>
      <c r="W287" s="12" t="inlineStr"/>
      <c r="X287" s="14" t="inlineStr"/>
    </row>
    <row r="288" ht="20" customHeight="1">
      <c r="A288" s="12" t="inlineStr"/>
      <c r="B288" s="12" t="inlineStr"/>
      <c r="C288" s="12" t="inlineStr"/>
      <c r="D288" s="12" t="inlineStr"/>
      <c r="E288" s="6" t="inlineStr"/>
      <c r="F288" s="13" t="inlineStr"/>
      <c r="G288" s="13" t="inlineStr"/>
      <c r="H288" s="14" t="inlineStr"/>
      <c r="I288" s="14" t="inlineStr"/>
      <c r="J288" s="14" t="inlineStr"/>
      <c r="K288" s="14" t="inlineStr"/>
      <c r="L288" s="12" t="inlineStr"/>
      <c r="M288" s="12" t="inlineStr"/>
      <c r="N288" s="12" t="inlineStr"/>
      <c r="O288" s="12">
        <f>IF($N288="x","Korrekturlest",IF($M288="x","Ferdig",IF($L288="x","Mest ferdig",IF($J288&lt;&gt;"","Pågår","Ikke startet"))))</f>
        <v/>
      </c>
      <c r="P288" s="12" t="inlineStr">
        <is>
          <t>Ikke sendt</t>
        </is>
      </c>
      <c r="Q288" s="15">
        <f>IF($D288="","",IFERROR(VLOOKUP($O288,Lists!$A$2:$B$6,2,FALSE),0))</f>
        <v/>
      </c>
      <c r="R288" s="16">
        <f>IF($I288="","",$I288-TODAY())</f>
        <v/>
      </c>
      <c r="S288" s="12">
        <f>IF(AND($I288&lt;&gt;"",$I288&lt;TODAY(),NOT(OR($O288="Ferdig",$O288="Korrekturlest"))),"OVERDUE","")</f>
        <v/>
      </c>
      <c r="T288" s="12" t="inlineStr">
        <is>
          <t>Middels</t>
        </is>
      </c>
      <c r="U288" s="12" t="inlineStr"/>
      <c r="V288" s="12" t="inlineStr"/>
      <c r="W288" s="12" t="inlineStr"/>
      <c r="X288" s="14" t="inlineStr"/>
    </row>
    <row r="289" ht="20" customHeight="1">
      <c r="A289" s="12" t="inlineStr"/>
      <c r="B289" s="12" t="inlineStr"/>
      <c r="C289" s="12" t="inlineStr"/>
      <c r="D289" s="12" t="inlineStr"/>
      <c r="E289" s="6" t="inlineStr"/>
      <c r="F289" s="13" t="inlineStr"/>
      <c r="G289" s="13" t="inlineStr"/>
      <c r="H289" s="14" t="inlineStr"/>
      <c r="I289" s="14" t="inlineStr"/>
      <c r="J289" s="14" t="inlineStr"/>
      <c r="K289" s="14" t="inlineStr"/>
      <c r="L289" s="12" t="inlineStr"/>
      <c r="M289" s="12" t="inlineStr"/>
      <c r="N289" s="12" t="inlineStr"/>
      <c r="O289" s="12">
        <f>IF($N289="x","Korrekturlest",IF($M289="x","Ferdig",IF($L289="x","Mest ferdig",IF($J289&lt;&gt;"","Pågår","Ikke startet"))))</f>
        <v/>
      </c>
      <c r="P289" s="12" t="inlineStr">
        <is>
          <t>Ikke sendt</t>
        </is>
      </c>
      <c r="Q289" s="15">
        <f>IF($D289="","",IFERROR(VLOOKUP($O289,Lists!$A$2:$B$6,2,FALSE),0))</f>
        <v/>
      </c>
      <c r="R289" s="16">
        <f>IF($I289="","",$I289-TODAY())</f>
        <v/>
      </c>
      <c r="S289" s="12">
        <f>IF(AND($I289&lt;&gt;"",$I289&lt;TODAY(),NOT(OR($O289="Ferdig",$O289="Korrekturlest"))),"OVERDUE","")</f>
        <v/>
      </c>
      <c r="T289" s="12" t="inlineStr">
        <is>
          <t>Middels</t>
        </is>
      </c>
      <c r="U289" s="12" t="inlineStr"/>
      <c r="V289" s="12" t="inlineStr"/>
      <c r="W289" s="12" t="inlineStr"/>
      <c r="X289" s="14" t="inlineStr"/>
    </row>
    <row r="290" ht="20" customHeight="1">
      <c r="A290" s="12" t="inlineStr"/>
      <c r="B290" s="12" t="inlineStr"/>
      <c r="C290" s="12" t="inlineStr"/>
      <c r="D290" s="12" t="inlineStr"/>
      <c r="E290" s="6" t="inlineStr"/>
      <c r="F290" s="13" t="inlineStr"/>
      <c r="G290" s="13" t="inlineStr"/>
      <c r="H290" s="14" t="inlineStr"/>
      <c r="I290" s="14" t="inlineStr"/>
      <c r="J290" s="14" t="inlineStr"/>
      <c r="K290" s="14" t="inlineStr"/>
      <c r="L290" s="12" t="inlineStr"/>
      <c r="M290" s="12" t="inlineStr"/>
      <c r="N290" s="12" t="inlineStr"/>
      <c r="O290" s="12">
        <f>IF($N290="x","Korrekturlest",IF($M290="x","Ferdig",IF($L290="x","Mest ferdig",IF($J290&lt;&gt;"","Pågår","Ikke startet"))))</f>
        <v/>
      </c>
      <c r="P290" s="12" t="inlineStr">
        <is>
          <t>Ikke sendt</t>
        </is>
      </c>
      <c r="Q290" s="15">
        <f>IF($D290="","",IFERROR(VLOOKUP($O290,Lists!$A$2:$B$6,2,FALSE),0))</f>
        <v/>
      </c>
      <c r="R290" s="16">
        <f>IF($I290="","",$I290-TODAY())</f>
        <v/>
      </c>
      <c r="S290" s="12">
        <f>IF(AND($I290&lt;&gt;"",$I290&lt;TODAY(),NOT(OR($O290="Ferdig",$O290="Korrekturlest"))),"OVERDUE","")</f>
        <v/>
      </c>
      <c r="T290" s="12" t="inlineStr">
        <is>
          <t>Middels</t>
        </is>
      </c>
      <c r="U290" s="12" t="inlineStr"/>
      <c r="V290" s="12" t="inlineStr"/>
      <c r="W290" s="12" t="inlineStr"/>
      <c r="X290" s="14" t="inlineStr"/>
    </row>
    <row r="291" ht="20" customHeight="1">
      <c r="A291" s="12" t="inlineStr"/>
      <c r="B291" s="12" t="inlineStr"/>
      <c r="C291" s="12" t="inlineStr"/>
      <c r="D291" s="12" t="inlineStr"/>
      <c r="E291" s="6" t="inlineStr"/>
      <c r="F291" s="13" t="inlineStr"/>
      <c r="G291" s="13" t="inlineStr"/>
      <c r="H291" s="14" t="inlineStr"/>
      <c r="I291" s="14" t="inlineStr"/>
      <c r="J291" s="14" t="inlineStr"/>
      <c r="K291" s="14" t="inlineStr"/>
      <c r="L291" s="12" t="inlineStr"/>
      <c r="M291" s="12" t="inlineStr"/>
      <c r="N291" s="12" t="inlineStr"/>
      <c r="O291" s="12">
        <f>IF($N291="x","Korrekturlest",IF($M291="x","Ferdig",IF($L291="x","Mest ferdig",IF($J291&lt;&gt;"","Pågår","Ikke startet"))))</f>
        <v/>
      </c>
      <c r="P291" s="12" t="inlineStr">
        <is>
          <t>Ikke sendt</t>
        </is>
      </c>
      <c r="Q291" s="15">
        <f>IF($D291="","",IFERROR(VLOOKUP($O291,Lists!$A$2:$B$6,2,FALSE),0))</f>
        <v/>
      </c>
      <c r="R291" s="16">
        <f>IF($I291="","",$I291-TODAY())</f>
        <v/>
      </c>
      <c r="S291" s="12">
        <f>IF(AND($I291&lt;&gt;"",$I291&lt;TODAY(),NOT(OR($O291="Ferdig",$O291="Korrekturlest"))),"OVERDUE","")</f>
        <v/>
      </c>
      <c r="T291" s="12" t="inlineStr">
        <is>
          <t>Middels</t>
        </is>
      </c>
      <c r="U291" s="12" t="inlineStr"/>
      <c r="V291" s="12" t="inlineStr"/>
      <c r="W291" s="12" t="inlineStr"/>
      <c r="X291" s="14" t="inlineStr"/>
    </row>
    <row r="292" ht="20" customHeight="1">
      <c r="A292" s="12" t="inlineStr"/>
      <c r="B292" s="12" t="inlineStr"/>
      <c r="C292" s="12" t="inlineStr"/>
      <c r="D292" s="12" t="inlineStr"/>
      <c r="E292" s="6" t="inlineStr"/>
      <c r="F292" s="13" t="inlineStr"/>
      <c r="G292" s="13" t="inlineStr"/>
      <c r="H292" s="14" t="inlineStr"/>
      <c r="I292" s="14" t="inlineStr"/>
      <c r="J292" s="14" t="inlineStr"/>
      <c r="K292" s="14" t="inlineStr"/>
      <c r="L292" s="12" t="inlineStr"/>
      <c r="M292" s="12" t="inlineStr"/>
      <c r="N292" s="12" t="inlineStr"/>
      <c r="O292" s="12">
        <f>IF($N292="x","Korrekturlest",IF($M292="x","Ferdig",IF($L292="x","Mest ferdig",IF($J292&lt;&gt;"","Pågår","Ikke startet"))))</f>
        <v/>
      </c>
      <c r="P292" s="12" t="inlineStr">
        <is>
          <t>Ikke sendt</t>
        </is>
      </c>
      <c r="Q292" s="15">
        <f>IF($D292="","",IFERROR(VLOOKUP($O292,Lists!$A$2:$B$6,2,FALSE),0))</f>
        <v/>
      </c>
      <c r="R292" s="16">
        <f>IF($I292="","",$I292-TODAY())</f>
        <v/>
      </c>
      <c r="S292" s="12">
        <f>IF(AND($I292&lt;&gt;"",$I292&lt;TODAY(),NOT(OR($O292="Ferdig",$O292="Korrekturlest"))),"OVERDUE","")</f>
        <v/>
      </c>
      <c r="T292" s="12" t="inlineStr">
        <is>
          <t>Middels</t>
        </is>
      </c>
      <c r="U292" s="12" t="inlineStr"/>
      <c r="V292" s="12" t="inlineStr"/>
      <c r="W292" s="12" t="inlineStr"/>
      <c r="X292" s="14" t="inlineStr"/>
    </row>
    <row r="293" ht="20" customHeight="1">
      <c r="A293" s="12" t="inlineStr"/>
      <c r="B293" s="12" t="inlineStr"/>
      <c r="C293" s="12" t="inlineStr"/>
      <c r="D293" s="12" t="inlineStr"/>
      <c r="E293" s="6" t="inlineStr"/>
      <c r="F293" s="13" t="inlineStr"/>
      <c r="G293" s="13" t="inlineStr"/>
      <c r="H293" s="14" t="inlineStr"/>
      <c r="I293" s="14" t="inlineStr"/>
      <c r="J293" s="14" t="inlineStr"/>
      <c r="K293" s="14" t="inlineStr"/>
      <c r="L293" s="12" t="inlineStr"/>
      <c r="M293" s="12" t="inlineStr"/>
      <c r="N293" s="12" t="inlineStr"/>
      <c r="O293" s="12">
        <f>IF($N293="x","Korrekturlest",IF($M293="x","Ferdig",IF($L293="x","Mest ferdig",IF($J293&lt;&gt;"","Pågår","Ikke startet"))))</f>
        <v/>
      </c>
      <c r="P293" s="12" t="inlineStr">
        <is>
          <t>Ikke sendt</t>
        </is>
      </c>
      <c r="Q293" s="15">
        <f>IF($D293="","",IFERROR(VLOOKUP($O293,Lists!$A$2:$B$6,2,FALSE),0))</f>
        <v/>
      </c>
      <c r="R293" s="16">
        <f>IF($I293="","",$I293-TODAY())</f>
        <v/>
      </c>
      <c r="S293" s="12">
        <f>IF(AND($I293&lt;&gt;"",$I293&lt;TODAY(),NOT(OR($O293="Ferdig",$O293="Korrekturlest"))),"OVERDUE","")</f>
        <v/>
      </c>
      <c r="T293" s="12" t="inlineStr">
        <is>
          <t>Middels</t>
        </is>
      </c>
      <c r="U293" s="12" t="inlineStr"/>
      <c r="V293" s="12" t="inlineStr"/>
      <c r="W293" s="12" t="inlineStr"/>
      <c r="X293" s="14" t="inlineStr"/>
    </row>
    <row r="294" ht="20" customHeight="1">
      <c r="A294" s="12" t="inlineStr"/>
      <c r="B294" s="12" t="inlineStr"/>
      <c r="C294" s="12" t="inlineStr"/>
      <c r="D294" s="12" t="inlineStr"/>
      <c r="E294" s="6" t="inlineStr"/>
      <c r="F294" s="13" t="inlineStr"/>
      <c r="G294" s="13" t="inlineStr"/>
      <c r="H294" s="14" t="inlineStr"/>
      <c r="I294" s="14" t="inlineStr"/>
      <c r="J294" s="14" t="inlineStr"/>
      <c r="K294" s="14" t="inlineStr"/>
      <c r="L294" s="12" t="inlineStr"/>
      <c r="M294" s="12" t="inlineStr"/>
      <c r="N294" s="12" t="inlineStr"/>
      <c r="O294" s="12">
        <f>IF($N294="x","Korrekturlest",IF($M294="x","Ferdig",IF($L294="x","Mest ferdig",IF($J294&lt;&gt;"","Pågår","Ikke startet"))))</f>
        <v/>
      </c>
      <c r="P294" s="12" t="inlineStr">
        <is>
          <t>Ikke sendt</t>
        </is>
      </c>
      <c r="Q294" s="15">
        <f>IF($D294="","",IFERROR(VLOOKUP($O294,Lists!$A$2:$B$6,2,FALSE),0))</f>
        <v/>
      </c>
      <c r="R294" s="16">
        <f>IF($I294="","",$I294-TODAY())</f>
        <v/>
      </c>
      <c r="S294" s="12">
        <f>IF(AND($I294&lt;&gt;"",$I294&lt;TODAY(),NOT(OR($O294="Ferdig",$O294="Korrekturlest"))),"OVERDUE","")</f>
        <v/>
      </c>
      <c r="T294" s="12" t="inlineStr">
        <is>
          <t>Middels</t>
        </is>
      </c>
      <c r="U294" s="12" t="inlineStr"/>
      <c r="V294" s="12" t="inlineStr"/>
      <c r="W294" s="12" t="inlineStr"/>
      <c r="X294" s="14" t="inlineStr"/>
    </row>
    <row r="295" ht="20" customHeight="1">
      <c r="A295" s="12" t="inlineStr"/>
      <c r="B295" s="12" t="inlineStr"/>
      <c r="C295" s="12" t="inlineStr"/>
      <c r="D295" s="12" t="inlineStr"/>
      <c r="E295" s="6" t="inlineStr"/>
      <c r="F295" s="13" t="inlineStr"/>
      <c r="G295" s="13" t="inlineStr"/>
      <c r="H295" s="14" t="inlineStr"/>
      <c r="I295" s="14" t="inlineStr"/>
      <c r="J295" s="14" t="inlineStr"/>
      <c r="K295" s="14" t="inlineStr"/>
      <c r="L295" s="12" t="inlineStr"/>
      <c r="M295" s="12" t="inlineStr"/>
      <c r="N295" s="12" t="inlineStr"/>
      <c r="O295" s="12">
        <f>IF($N295="x","Korrekturlest",IF($M295="x","Ferdig",IF($L295="x","Mest ferdig",IF($J295&lt;&gt;"","Pågår","Ikke startet"))))</f>
        <v/>
      </c>
      <c r="P295" s="12" t="inlineStr">
        <is>
          <t>Ikke sendt</t>
        </is>
      </c>
      <c r="Q295" s="15">
        <f>IF($D295="","",IFERROR(VLOOKUP($O295,Lists!$A$2:$B$6,2,FALSE),0))</f>
        <v/>
      </c>
      <c r="R295" s="16">
        <f>IF($I295="","",$I295-TODAY())</f>
        <v/>
      </c>
      <c r="S295" s="12">
        <f>IF(AND($I295&lt;&gt;"",$I295&lt;TODAY(),NOT(OR($O295="Ferdig",$O295="Korrekturlest"))),"OVERDUE","")</f>
        <v/>
      </c>
      <c r="T295" s="12" t="inlineStr">
        <is>
          <t>Middels</t>
        </is>
      </c>
      <c r="U295" s="12" t="inlineStr"/>
      <c r="V295" s="12" t="inlineStr"/>
      <c r="W295" s="12" t="inlineStr"/>
      <c r="X295" s="14" t="inlineStr"/>
    </row>
    <row r="296" ht="20" customHeight="1">
      <c r="A296" s="12" t="inlineStr"/>
      <c r="B296" s="12" t="inlineStr"/>
      <c r="C296" s="12" t="inlineStr"/>
      <c r="D296" s="12" t="inlineStr"/>
      <c r="E296" s="6" t="inlineStr"/>
      <c r="F296" s="13" t="inlineStr"/>
      <c r="G296" s="13" t="inlineStr"/>
      <c r="H296" s="14" t="inlineStr"/>
      <c r="I296" s="14" t="inlineStr"/>
      <c r="J296" s="14" t="inlineStr"/>
      <c r="K296" s="14" t="inlineStr"/>
      <c r="L296" s="12" t="inlineStr"/>
      <c r="M296" s="12" t="inlineStr"/>
      <c r="N296" s="12" t="inlineStr"/>
      <c r="O296" s="12">
        <f>IF($N296="x","Korrekturlest",IF($M296="x","Ferdig",IF($L296="x","Mest ferdig",IF($J296&lt;&gt;"","Pågår","Ikke startet"))))</f>
        <v/>
      </c>
      <c r="P296" s="12" t="inlineStr">
        <is>
          <t>Ikke sendt</t>
        </is>
      </c>
      <c r="Q296" s="15">
        <f>IF($D296="","",IFERROR(VLOOKUP($O296,Lists!$A$2:$B$6,2,FALSE),0))</f>
        <v/>
      </c>
      <c r="R296" s="16">
        <f>IF($I296="","",$I296-TODAY())</f>
        <v/>
      </c>
      <c r="S296" s="12">
        <f>IF(AND($I296&lt;&gt;"",$I296&lt;TODAY(),NOT(OR($O296="Ferdig",$O296="Korrekturlest"))),"OVERDUE","")</f>
        <v/>
      </c>
      <c r="T296" s="12" t="inlineStr">
        <is>
          <t>Middels</t>
        </is>
      </c>
      <c r="U296" s="12" t="inlineStr"/>
      <c r="V296" s="12" t="inlineStr"/>
      <c r="W296" s="12" t="inlineStr"/>
      <c r="X296" s="14" t="inlineStr"/>
    </row>
    <row r="297" ht="20" customHeight="1">
      <c r="A297" s="12" t="inlineStr"/>
      <c r="B297" s="12" t="inlineStr"/>
      <c r="C297" s="12" t="inlineStr"/>
      <c r="D297" s="12" t="inlineStr"/>
      <c r="E297" s="6" t="inlineStr"/>
      <c r="F297" s="13" t="inlineStr"/>
      <c r="G297" s="13" t="inlineStr"/>
      <c r="H297" s="14" t="inlineStr"/>
      <c r="I297" s="14" t="inlineStr"/>
      <c r="J297" s="14" t="inlineStr"/>
      <c r="K297" s="14" t="inlineStr"/>
      <c r="L297" s="12" t="inlineStr"/>
      <c r="M297" s="12" t="inlineStr"/>
      <c r="N297" s="12" t="inlineStr"/>
      <c r="O297" s="12">
        <f>IF($N297="x","Korrekturlest",IF($M297="x","Ferdig",IF($L297="x","Mest ferdig",IF($J297&lt;&gt;"","Pågår","Ikke startet"))))</f>
        <v/>
      </c>
      <c r="P297" s="12" t="inlineStr">
        <is>
          <t>Ikke sendt</t>
        </is>
      </c>
      <c r="Q297" s="15">
        <f>IF($D297="","",IFERROR(VLOOKUP($O297,Lists!$A$2:$B$6,2,FALSE),0))</f>
        <v/>
      </c>
      <c r="R297" s="16">
        <f>IF($I297="","",$I297-TODAY())</f>
        <v/>
      </c>
      <c r="S297" s="12">
        <f>IF(AND($I297&lt;&gt;"",$I297&lt;TODAY(),NOT(OR($O297="Ferdig",$O297="Korrekturlest"))),"OVERDUE","")</f>
        <v/>
      </c>
      <c r="T297" s="12" t="inlineStr">
        <is>
          <t>Middels</t>
        </is>
      </c>
      <c r="U297" s="12" t="inlineStr"/>
      <c r="V297" s="12" t="inlineStr"/>
      <c r="W297" s="12" t="inlineStr"/>
      <c r="X297" s="14" t="inlineStr"/>
    </row>
    <row r="298" ht="20" customHeight="1">
      <c r="A298" s="12" t="inlineStr"/>
      <c r="B298" s="12" t="inlineStr"/>
      <c r="C298" s="12" t="inlineStr"/>
      <c r="D298" s="12" t="inlineStr"/>
      <c r="E298" s="6" t="inlineStr"/>
      <c r="F298" s="13" t="inlineStr"/>
      <c r="G298" s="13" t="inlineStr"/>
      <c r="H298" s="14" t="inlineStr"/>
      <c r="I298" s="14" t="inlineStr"/>
      <c r="J298" s="14" t="inlineStr"/>
      <c r="K298" s="14" t="inlineStr"/>
      <c r="L298" s="12" t="inlineStr"/>
      <c r="M298" s="12" t="inlineStr"/>
      <c r="N298" s="12" t="inlineStr"/>
      <c r="O298" s="12">
        <f>IF($N298="x","Korrekturlest",IF($M298="x","Ferdig",IF($L298="x","Mest ferdig",IF($J298&lt;&gt;"","Pågår","Ikke startet"))))</f>
        <v/>
      </c>
      <c r="P298" s="12" t="inlineStr">
        <is>
          <t>Ikke sendt</t>
        </is>
      </c>
      <c r="Q298" s="15">
        <f>IF($D298="","",IFERROR(VLOOKUP($O298,Lists!$A$2:$B$6,2,FALSE),0))</f>
        <v/>
      </c>
      <c r="R298" s="16">
        <f>IF($I298="","",$I298-TODAY())</f>
        <v/>
      </c>
      <c r="S298" s="12">
        <f>IF(AND($I298&lt;&gt;"",$I298&lt;TODAY(),NOT(OR($O298="Ferdig",$O298="Korrekturlest"))),"OVERDUE","")</f>
        <v/>
      </c>
      <c r="T298" s="12" t="inlineStr">
        <is>
          <t>Middels</t>
        </is>
      </c>
      <c r="U298" s="12" t="inlineStr"/>
      <c r="V298" s="12" t="inlineStr"/>
      <c r="W298" s="12" t="inlineStr"/>
      <c r="X298" s="14" t="inlineStr"/>
    </row>
    <row r="299" ht="20" customHeight="1">
      <c r="A299" s="12" t="inlineStr"/>
      <c r="B299" s="12" t="inlineStr"/>
      <c r="C299" s="12" t="inlineStr"/>
      <c r="D299" s="12" t="inlineStr"/>
      <c r="E299" s="6" t="inlineStr"/>
      <c r="F299" s="13" t="inlineStr"/>
      <c r="G299" s="13" t="inlineStr"/>
      <c r="H299" s="14" t="inlineStr"/>
      <c r="I299" s="14" t="inlineStr"/>
      <c r="J299" s="14" t="inlineStr"/>
      <c r="K299" s="14" t="inlineStr"/>
      <c r="L299" s="12" t="inlineStr"/>
      <c r="M299" s="12" t="inlineStr"/>
      <c r="N299" s="12" t="inlineStr"/>
      <c r="O299" s="12">
        <f>IF($N299="x","Korrekturlest",IF($M299="x","Ferdig",IF($L299="x","Mest ferdig",IF($J299&lt;&gt;"","Pågår","Ikke startet"))))</f>
        <v/>
      </c>
      <c r="P299" s="12" t="inlineStr">
        <is>
          <t>Ikke sendt</t>
        </is>
      </c>
      <c r="Q299" s="15">
        <f>IF($D299="","",IFERROR(VLOOKUP($O299,Lists!$A$2:$B$6,2,FALSE),0))</f>
        <v/>
      </c>
      <c r="R299" s="16">
        <f>IF($I299="","",$I299-TODAY())</f>
        <v/>
      </c>
      <c r="S299" s="12">
        <f>IF(AND($I299&lt;&gt;"",$I299&lt;TODAY(),NOT(OR($O299="Ferdig",$O299="Korrekturlest"))),"OVERDUE","")</f>
        <v/>
      </c>
      <c r="T299" s="12" t="inlineStr">
        <is>
          <t>Middels</t>
        </is>
      </c>
      <c r="U299" s="12" t="inlineStr"/>
      <c r="V299" s="12" t="inlineStr"/>
      <c r="W299" s="12" t="inlineStr"/>
      <c r="X299" s="14" t="inlineStr"/>
    </row>
    <row r="300" ht="20" customHeight="1">
      <c r="A300" s="12" t="inlineStr"/>
      <c r="B300" s="12" t="inlineStr"/>
      <c r="C300" s="12" t="inlineStr"/>
      <c r="D300" s="12" t="inlineStr"/>
      <c r="E300" s="6" t="inlineStr"/>
      <c r="F300" s="13" t="inlineStr"/>
      <c r="G300" s="13" t="inlineStr"/>
      <c r="H300" s="14" t="inlineStr"/>
      <c r="I300" s="14" t="inlineStr"/>
      <c r="J300" s="14" t="inlineStr"/>
      <c r="K300" s="14" t="inlineStr"/>
      <c r="L300" s="12" t="inlineStr"/>
      <c r="M300" s="12" t="inlineStr"/>
      <c r="N300" s="12" t="inlineStr"/>
      <c r="O300" s="12">
        <f>IF($N300="x","Korrekturlest",IF($M300="x","Ferdig",IF($L300="x","Mest ferdig",IF($J300&lt;&gt;"","Pågår","Ikke startet"))))</f>
        <v/>
      </c>
      <c r="P300" s="12" t="inlineStr">
        <is>
          <t>Ikke sendt</t>
        </is>
      </c>
      <c r="Q300" s="15">
        <f>IF($D300="","",IFERROR(VLOOKUP($O300,Lists!$A$2:$B$6,2,FALSE),0))</f>
        <v/>
      </c>
      <c r="R300" s="16">
        <f>IF($I300="","",$I300-TODAY())</f>
        <v/>
      </c>
      <c r="S300" s="12">
        <f>IF(AND($I300&lt;&gt;"",$I300&lt;TODAY(),NOT(OR($O300="Ferdig",$O300="Korrekturlest"))),"OVERDUE","")</f>
        <v/>
      </c>
      <c r="T300" s="12" t="inlineStr">
        <is>
          <t>Middels</t>
        </is>
      </c>
      <c r="U300" s="12" t="inlineStr"/>
      <c r="V300" s="12" t="inlineStr"/>
      <c r="W300" s="12" t="inlineStr"/>
      <c r="X300" s="14" t="inlineStr"/>
    </row>
  </sheetData>
  <conditionalFormatting sqref="L2:N300">
    <cfRule type="cellIs" priority="1" operator="equal" dxfId="2">
      <formula>"x"</formula>
    </cfRule>
  </conditionalFormatting>
  <conditionalFormatting sqref="A2:X300">
    <cfRule type="expression" priority="2" dxfId="0">
      <formula>=AND(I2&lt;&gt;"",I2&lt;TODAY(),NOT(OR(O2="Ferdig",O2="Korrekturlest")))</formula>
    </cfRule>
    <cfRule type="expression" priority="3" dxfId="1">
      <formula>=AND(I2&lt;&gt;"",I2&gt;=TODAY(),I2&lt;=TODAY()+7,NOT(OR(O2="Ferdig",O2="Korrekturlest")))</formula>
    </cfRule>
  </conditionalFormatting>
  <dataValidations count="3">
    <dataValidation sqref="L2:N300" showDropDown="0" showInputMessage="0" showErrorMessage="0" allowBlank="1" type="list">
      <formula1>=Lists!$D$2:$D$3</formula1>
    </dataValidation>
    <dataValidation sqref="T2:T300" showDropDown="0" showInputMessage="0" showErrorMessage="0" allowBlank="0" type="list">
      <formula1>=Lists!$F$2:$F$4</formula1>
    </dataValidation>
    <dataValidation sqref="P2:P300" showDropDown="0" showInputMessage="0" showErrorMessage="0" allowBlank="0" type="list">
      <formula1>=Lists!$H$2:$H$5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16" customWidth="1" min="4" max="4"/>
    <col width="22" customWidth="1" min="5" max="5"/>
    <col width="34" customWidth="1" min="6" max="6"/>
  </cols>
  <sheetData>
    <row r="1" ht="26" customHeight="1">
      <c r="A1" s="10" t="inlineStr">
        <is>
          <t>Milepæl</t>
        </is>
      </c>
      <c r="B1" s="10" t="inlineStr">
        <is>
          <t>Beskrivelse</t>
        </is>
      </c>
      <c r="C1" s="10" t="inlineStr">
        <is>
          <t>Plan dato</t>
        </is>
      </c>
      <c r="D1" s="10" t="inlineStr">
        <is>
          <t>Status</t>
        </is>
      </c>
      <c r="E1" s="10" t="inlineStr">
        <is>
          <t>Avhengigheter</t>
        </is>
      </c>
      <c r="F1" s="10" t="inlineStr">
        <is>
          <t>Notater</t>
        </is>
      </c>
    </row>
    <row r="2">
      <c r="A2" s="6" t="inlineStr">
        <is>
          <t>Oppstart</t>
        </is>
      </c>
      <c r="B2" s="6" t="inlineStr">
        <is>
          <t>Disposisjon klar</t>
        </is>
      </c>
      <c r="C2" s="7" t="inlineStr"/>
      <c r="D2" s="6" t="inlineStr">
        <is>
          <t>Ikke startet</t>
        </is>
      </c>
      <c r="E2" s="6" t="inlineStr"/>
      <c r="F2" s="6" t="inlineStr"/>
    </row>
    <row r="3">
      <c r="A3" s="6" t="inlineStr">
        <is>
          <t>Første kapittelutkast</t>
        </is>
      </c>
      <c r="B3" s="6" t="inlineStr">
        <is>
          <t>Intro + metode i utkast</t>
        </is>
      </c>
      <c r="C3" s="7" t="inlineStr"/>
      <c r="D3" s="6" t="inlineStr">
        <is>
          <t>Ikke startet</t>
        </is>
      </c>
      <c r="E3" s="6" t="inlineStr"/>
      <c r="F3" s="6" t="inlineStr"/>
    </row>
    <row r="4">
      <c r="A4" s="6" t="inlineStr">
        <is>
          <t>Fullt førsteutkast</t>
        </is>
      </c>
      <c r="B4" s="6" t="inlineStr">
        <is>
          <t>Alle kapitler i sammenheng</t>
        </is>
      </c>
      <c r="C4" s="7" t="inlineStr"/>
      <c r="D4" s="6" t="inlineStr">
        <is>
          <t>Ikke startet</t>
        </is>
      </c>
      <c r="E4" s="6" t="inlineStr"/>
      <c r="F4" s="6" t="inlineStr"/>
    </row>
    <row r="5">
      <c r="A5" s="6" t="inlineStr">
        <is>
          <t>Veiledergjennomgang</t>
        </is>
      </c>
      <c r="B5" s="6" t="inlineStr">
        <is>
          <t>Sendt full utkast til veileder</t>
        </is>
      </c>
      <c r="C5" s="7" t="inlineStr"/>
      <c r="D5" s="6" t="inlineStr">
        <is>
          <t>Ikke startet</t>
        </is>
      </c>
      <c r="E5" s="6" t="inlineStr"/>
      <c r="F5" s="6" t="inlineStr"/>
    </row>
    <row r="6">
      <c r="A6" s="6" t="inlineStr">
        <is>
          <t>Siste korrektur</t>
        </is>
      </c>
      <c r="B6" s="6" t="inlineStr">
        <is>
          <t>Språk + figurer + referanser</t>
        </is>
      </c>
      <c r="C6" s="7" t="inlineStr"/>
      <c r="D6" s="6" t="inlineStr">
        <is>
          <t>Ikke startet</t>
        </is>
      </c>
      <c r="E6" s="6" t="inlineStr"/>
      <c r="F6" s="6" t="inlineStr"/>
    </row>
    <row r="7">
      <c r="A7" s="6" t="inlineStr">
        <is>
          <t>Innlevering</t>
        </is>
      </c>
      <c r="B7" s="6" t="inlineStr">
        <is>
          <t>PDF levert og bekreftet</t>
        </is>
      </c>
      <c r="C7" s="7" t="inlineStr"/>
      <c r="D7" s="6" t="inlineStr">
        <is>
          <t>Ikke startet</t>
        </is>
      </c>
      <c r="E7" s="6" t="inlineStr"/>
      <c r="F7" s="6" t="inlineStr"/>
    </row>
  </sheetData>
  <dataValidations count="1">
    <dataValidation sqref="D2:D200" showDropDown="0" showInputMessage="0" showErrorMessage="0" allowBlank="0" type="list">
      <formula1>=Lists!$A$2:$A$6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42" customWidth="1" min="4" max="4"/>
    <col width="22" customWidth="1" min="5" max="5"/>
    <col width="14" customWidth="1" min="6" max="6"/>
    <col width="24" customWidth="1" min="7" max="7"/>
    <col width="26" customWidth="1" min="8" max="8"/>
    <col width="34" customWidth="1" min="9" max="9"/>
  </cols>
  <sheetData>
    <row r="1" ht="26" customHeight="1">
      <c r="A1" s="10" t="inlineStr">
        <is>
          <t>ID</t>
        </is>
      </c>
      <c r="B1" s="10" t="inlineStr">
        <is>
          <t>Type</t>
        </is>
      </c>
      <c r="C1" s="10" t="inlineStr">
        <is>
          <t>Kapittel</t>
        </is>
      </c>
      <c r="D1" s="10" t="inlineStr">
        <is>
          <t>Tittel/Caption</t>
        </is>
      </c>
      <c r="E1" s="10" t="inlineStr">
        <is>
          <t>Kilde/data</t>
        </is>
      </c>
      <c r="F1" s="10" t="inlineStr">
        <is>
          <t>Status</t>
        </is>
      </c>
      <c r="G1" s="10" t="inlineStr">
        <is>
          <t>Fildestinasjon</t>
        </is>
      </c>
      <c r="H1" s="10" t="inlineStr">
        <is>
          <t>Sitat/tilatelse sjekket (x)</t>
        </is>
      </c>
      <c r="I1" s="10" t="inlineStr">
        <is>
          <t>Notater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inlineStr"/>
      <c r="I2" s="6" t="n"/>
    </row>
    <row r="3">
      <c r="A3" s="6" t="n"/>
      <c r="B3" s="6" t="n"/>
      <c r="C3" s="6" t="n"/>
      <c r="D3" s="6" t="n"/>
      <c r="E3" s="6" t="n"/>
      <c r="F3" s="6" t="n"/>
      <c r="G3" s="6" t="n"/>
      <c r="H3" s="6" t="inlineStr"/>
      <c r="I3" s="6" t="n"/>
    </row>
    <row r="4">
      <c r="A4" s="6" t="n"/>
      <c r="B4" s="6" t="n"/>
      <c r="C4" s="6" t="n"/>
      <c r="D4" s="6" t="n"/>
      <c r="E4" s="6" t="n"/>
      <c r="F4" s="6" t="n"/>
      <c r="G4" s="6" t="n"/>
      <c r="H4" s="6" t="inlineStr"/>
      <c r="I4" s="6" t="n"/>
    </row>
    <row r="5">
      <c r="A5" s="6" t="n"/>
      <c r="B5" s="6" t="n"/>
      <c r="C5" s="6" t="n"/>
      <c r="D5" s="6" t="n"/>
      <c r="E5" s="6" t="n"/>
      <c r="F5" s="6" t="n"/>
      <c r="G5" s="6" t="n"/>
      <c r="H5" s="6" t="inlineStr"/>
      <c r="I5" s="6" t="n"/>
    </row>
    <row r="6">
      <c r="A6" s="6" t="n"/>
      <c r="B6" s="6" t="n"/>
      <c r="C6" s="6" t="n"/>
      <c r="D6" s="6" t="n"/>
      <c r="E6" s="6" t="n"/>
      <c r="F6" s="6" t="n"/>
      <c r="G6" s="6" t="n"/>
      <c r="H6" s="6" t="inlineStr"/>
      <c r="I6" s="6" t="n"/>
    </row>
    <row r="7">
      <c r="A7" s="6" t="n"/>
      <c r="B7" s="6" t="n"/>
      <c r="C7" s="6" t="n"/>
      <c r="D7" s="6" t="n"/>
      <c r="E7" s="6" t="n"/>
      <c r="F7" s="6" t="n"/>
      <c r="G7" s="6" t="n"/>
      <c r="H7" s="6" t="inlineStr"/>
      <c r="I7" s="6" t="n"/>
    </row>
    <row r="8">
      <c r="A8" s="6" t="n"/>
      <c r="B8" s="6" t="n"/>
      <c r="C8" s="6" t="n"/>
      <c r="D8" s="6" t="n"/>
      <c r="E8" s="6" t="n"/>
      <c r="F8" s="6" t="n"/>
      <c r="G8" s="6" t="n"/>
      <c r="H8" s="6" t="inlineStr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inlineStr"/>
      <c r="I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inlineStr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inlineStr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inlineStr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inlineStr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inlineStr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inlineStr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inlineStr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inlineStr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inlineStr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inlineStr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inlineStr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inlineStr"/>
      <c r="I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inlineStr"/>
      <c r="I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inlineStr"/>
      <c r="I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inlineStr"/>
      <c r="I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inlineStr"/>
      <c r="I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inlineStr"/>
      <c r="I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inlineStr"/>
      <c r="I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inlineStr"/>
      <c r="I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inlineStr"/>
      <c r="I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inlineStr"/>
      <c r="I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inlineStr"/>
      <c r="I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inlineStr"/>
      <c r="I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inlineStr"/>
      <c r="I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inlineStr"/>
      <c r="I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inlineStr"/>
      <c r="I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inlineStr"/>
      <c r="I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inlineStr"/>
      <c r="I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inlineStr"/>
      <c r="I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inlineStr"/>
      <c r="I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inlineStr"/>
      <c r="I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inlineStr"/>
      <c r="I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inlineStr"/>
      <c r="I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inlineStr"/>
      <c r="I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inlineStr"/>
      <c r="I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inlineStr"/>
      <c r="I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inlineStr"/>
      <c r="I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inlineStr"/>
      <c r="I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inlineStr"/>
      <c r="I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inlineStr"/>
      <c r="I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inlineStr"/>
      <c r="I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inlineStr"/>
      <c r="I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inlineStr"/>
      <c r="I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inlineStr"/>
      <c r="I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inlineStr"/>
      <c r="I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inlineStr"/>
      <c r="I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inlineStr"/>
      <c r="I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inlineStr"/>
      <c r="I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inlineStr"/>
      <c r="I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inlineStr"/>
      <c r="I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inlineStr"/>
      <c r="I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inlineStr"/>
      <c r="I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inlineStr"/>
      <c r="I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inlineStr"/>
      <c r="I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inlineStr"/>
      <c r="I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inlineStr"/>
      <c r="I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inlineStr"/>
      <c r="I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inlineStr"/>
      <c r="I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inlineStr"/>
      <c r="I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inlineStr"/>
      <c r="I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inlineStr"/>
      <c r="I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inlineStr"/>
      <c r="I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inlineStr"/>
      <c r="I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inlineStr"/>
      <c r="I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inlineStr"/>
      <c r="I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inlineStr"/>
      <c r="I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inlineStr"/>
      <c r="I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inlineStr"/>
      <c r="I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inlineStr"/>
      <c r="I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inlineStr"/>
      <c r="I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inlineStr"/>
      <c r="I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inlineStr"/>
      <c r="I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inlineStr"/>
      <c r="I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inlineStr"/>
      <c r="I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inlineStr"/>
      <c r="I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inlineStr"/>
      <c r="I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inlineStr"/>
      <c r="I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inlineStr"/>
      <c r="I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inlineStr"/>
      <c r="I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inlineStr"/>
      <c r="I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inlineStr"/>
      <c r="I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inlineStr"/>
      <c r="I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inlineStr"/>
      <c r="I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inlineStr"/>
      <c r="I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inlineStr"/>
      <c r="I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inlineStr"/>
      <c r="I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inlineStr"/>
      <c r="I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inlineStr"/>
      <c r="I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inlineStr"/>
      <c r="I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inlineStr"/>
      <c r="I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inlineStr"/>
      <c r="I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inlineStr"/>
      <c r="I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inlineStr"/>
      <c r="I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inlineStr"/>
      <c r="I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inlineStr"/>
      <c r="I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inlineStr"/>
      <c r="I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inlineStr"/>
      <c r="I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inlineStr"/>
      <c r="I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inlineStr"/>
      <c r="I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inlineStr"/>
      <c r="I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inlineStr"/>
      <c r="I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inlineStr"/>
      <c r="I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inlineStr"/>
      <c r="I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inlineStr"/>
      <c r="I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inlineStr"/>
      <c r="I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inlineStr"/>
      <c r="I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inlineStr"/>
      <c r="I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inlineStr"/>
      <c r="I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inlineStr"/>
      <c r="I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inlineStr"/>
      <c r="I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inlineStr"/>
      <c r="I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inlineStr"/>
      <c r="I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inlineStr"/>
      <c r="I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inlineStr"/>
      <c r="I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inlineStr"/>
      <c r="I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inlineStr"/>
      <c r="I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inlineStr"/>
      <c r="I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inlineStr"/>
      <c r="I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inlineStr"/>
      <c r="I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inlineStr"/>
      <c r="I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inlineStr"/>
      <c r="I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inlineStr"/>
      <c r="I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inlineStr"/>
      <c r="I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inlineStr"/>
      <c r="I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inlineStr"/>
      <c r="I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inlineStr"/>
      <c r="I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inlineStr"/>
      <c r="I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inlineStr"/>
      <c r="I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inlineStr"/>
      <c r="I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inlineStr"/>
      <c r="I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inlineStr"/>
      <c r="I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inlineStr"/>
      <c r="I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inlineStr"/>
      <c r="I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inlineStr"/>
      <c r="I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inlineStr"/>
      <c r="I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inlineStr"/>
      <c r="I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inlineStr"/>
      <c r="I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inlineStr"/>
      <c r="I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inlineStr"/>
      <c r="I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inlineStr"/>
      <c r="I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inlineStr"/>
      <c r="I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inlineStr"/>
      <c r="I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inlineStr"/>
      <c r="I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inlineStr"/>
      <c r="I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inlineStr"/>
      <c r="I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inlineStr"/>
      <c r="I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inlineStr"/>
      <c r="I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inlineStr"/>
      <c r="I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inlineStr"/>
      <c r="I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inlineStr"/>
      <c r="I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inlineStr"/>
      <c r="I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inlineStr"/>
      <c r="I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inlineStr"/>
      <c r="I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inlineStr"/>
      <c r="I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inlineStr"/>
      <c r="I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inlineStr"/>
      <c r="I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inlineStr"/>
      <c r="I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inlineStr"/>
      <c r="I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inlineStr"/>
      <c r="I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inlineStr"/>
      <c r="I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inlineStr"/>
      <c r="I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inlineStr"/>
      <c r="I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inlineStr"/>
      <c r="I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inlineStr"/>
      <c r="I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inlineStr"/>
      <c r="I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inlineStr"/>
      <c r="I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inlineStr"/>
      <c r="I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inlineStr"/>
      <c r="I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inlineStr"/>
      <c r="I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inlineStr"/>
      <c r="I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inlineStr"/>
      <c r="I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inlineStr"/>
      <c r="I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inlineStr"/>
      <c r="I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inlineStr"/>
      <c r="I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inlineStr"/>
      <c r="I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inlineStr"/>
      <c r="I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inlineStr"/>
      <c r="I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inlineStr"/>
      <c r="I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inlineStr"/>
      <c r="I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inlineStr"/>
      <c r="I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inlineStr"/>
      <c r="I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inlineStr"/>
      <c r="I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inlineStr"/>
      <c r="I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inlineStr"/>
      <c r="I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inlineStr"/>
      <c r="I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inlineStr"/>
      <c r="I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inlineStr"/>
      <c r="I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inlineStr"/>
      <c r="I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inlineStr"/>
      <c r="I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inlineStr"/>
      <c r="I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inlineStr"/>
      <c r="I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inlineStr"/>
      <c r="I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inlineStr"/>
      <c r="I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inlineStr"/>
      <c r="I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inlineStr"/>
      <c r="I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inlineStr"/>
      <c r="I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inlineStr"/>
      <c r="I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inlineStr"/>
      <c r="I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inlineStr"/>
      <c r="I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inlineStr"/>
      <c r="I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inlineStr"/>
      <c r="I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inlineStr"/>
      <c r="I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inlineStr"/>
      <c r="I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inlineStr"/>
      <c r="I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inlineStr"/>
      <c r="I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inlineStr"/>
      <c r="I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inlineStr"/>
      <c r="I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inlineStr"/>
      <c r="I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inlineStr"/>
      <c r="I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inlineStr"/>
      <c r="I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inlineStr"/>
      <c r="I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inlineStr"/>
      <c r="I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inlineStr"/>
      <c r="I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inlineStr"/>
      <c r="I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inlineStr"/>
      <c r="I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inlineStr"/>
      <c r="I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inlineStr"/>
      <c r="I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inlineStr"/>
      <c r="I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inlineStr"/>
      <c r="I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inlineStr"/>
      <c r="I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inlineStr"/>
      <c r="I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inlineStr"/>
      <c r="I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inlineStr"/>
      <c r="I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inlineStr"/>
      <c r="I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inlineStr"/>
      <c r="I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inlineStr"/>
      <c r="I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inlineStr"/>
      <c r="I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inlineStr"/>
      <c r="I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inlineStr"/>
      <c r="I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inlineStr"/>
      <c r="I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inlineStr"/>
      <c r="I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inlineStr"/>
      <c r="I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inlineStr"/>
      <c r="I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inlineStr"/>
      <c r="I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inlineStr"/>
      <c r="I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inlineStr"/>
      <c r="I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inlineStr"/>
      <c r="I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inlineStr"/>
      <c r="I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inlineStr"/>
      <c r="I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inlineStr"/>
      <c r="I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inlineStr"/>
      <c r="I250" s="6" t="n"/>
    </row>
  </sheetData>
  <conditionalFormatting sqref="H2:H250">
    <cfRule type="cellIs" priority="1" operator="equal" dxfId="2">
      <formula>"x"</formula>
    </cfRule>
  </conditionalFormatting>
  <dataValidations count="3">
    <dataValidation sqref="B2:B250" showDropDown="0" showInputMessage="0" showErrorMessage="0" allowBlank="0" type="list">
      <formula1>"Figur,Tabell,Illustrasjon,Diagram"</formula1>
    </dataValidation>
    <dataValidation sqref="F2:F250" showDropDown="0" showInputMessage="0" showErrorMessage="0" allowBlank="0" type="list">
      <formula1>=Lists!$A$2:$A$6</formula1>
    </dataValidation>
    <dataValidation sqref="H2:H250" showDropDown="0" showInputMessage="0" showErrorMessage="0" allowBlank="1" type="list">
      <formula1>=Lists!$D$2:$D$3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0" customWidth="1" min="5" max="5"/>
    <col width="14" customWidth="1" min="6" max="6"/>
    <col width="14" customWidth="1" min="7" max="7"/>
    <col width="16" customWidth="1" min="8" max="8"/>
    <col width="24" customWidth="1" min="9" max="9"/>
    <col width="34" customWidth="1" min="10" max="10"/>
  </cols>
  <sheetData>
    <row r="1" ht="26" customHeight="1">
      <c r="A1" s="10" t="inlineStr">
        <is>
          <t>Citation key</t>
        </is>
      </c>
      <c r="B1" s="10" t="inlineStr">
        <is>
          <t>Tittel</t>
        </is>
      </c>
      <c r="C1" s="10" t="inlineStr">
        <is>
          <t>Forfatter/år</t>
        </is>
      </c>
      <c r="D1" s="10" t="inlineStr">
        <is>
          <t>Tema</t>
        </is>
      </c>
      <c r="E1" s="10" t="inlineStr">
        <is>
          <t>Lest (x)</t>
        </is>
      </c>
      <c r="F1" s="10" t="inlineStr">
        <is>
          <t>Oppsummert (x)</t>
        </is>
      </c>
      <c r="G1" s="10" t="inlineStr">
        <is>
          <t>Sitert i tekst (x)</t>
        </is>
      </c>
      <c r="H1" s="10" t="inlineStr">
        <is>
          <t>BibTeX lagt til (x)</t>
        </is>
      </c>
      <c r="I1" s="10" t="inlineStr">
        <is>
          <t>Lenke/DOI</t>
        </is>
      </c>
      <c r="J1" s="10" t="inlineStr">
        <is>
          <t>Notater</t>
        </is>
      </c>
    </row>
    <row r="2">
      <c r="A2" s="6" t="n"/>
      <c r="B2" s="6" t="n"/>
      <c r="C2" s="6" t="n"/>
      <c r="D2" s="6" t="n"/>
      <c r="E2" s="6" t="inlineStr"/>
      <c r="F2" s="6" t="inlineStr"/>
      <c r="G2" s="6" t="inlineStr"/>
      <c r="H2" s="6" t="inlineStr"/>
      <c r="I2" s="6" t="n"/>
      <c r="J2" s="6" t="n"/>
    </row>
    <row r="3">
      <c r="A3" s="6" t="n"/>
      <c r="B3" s="6" t="n"/>
      <c r="C3" s="6" t="n"/>
      <c r="D3" s="6" t="n"/>
      <c r="E3" s="6" t="inlineStr"/>
      <c r="F3" s="6" t="inlineStr"/>
      <c r="G3" s="6" t="inlineStr"/>
      <c r="H3" s="6" t="inlineStr"/>
      <c r="I3" s="6" t="n"/>
      <c r="J3" s="6" t="n"/>
    </row>
    <row r="4">
      <c r="A4" s="6" t="n"/>
      <c r="B4" s="6" t="n"/>
      <c r="C4" s="6" t="n"/>
      <c r="D4" s="6" t="n"/>
      <c r="E4" s="6" t="inlineStr"/>
      <c r="F4" s="6" t="inlineStr"/>
      <c r="G4" s="6" t="inlineStr"/>
      <c r="H4" s="6" t="inlineStr"/>
      <c r="I4" s="6" t="n"/>
      <c r="J4" s="6" t="n"/>
    </row>
    <row r="5">
      <c r="A5" s="6" t="n"/>
      <c r="B5" s="6" t="n"/>
      <c r="C5" s="6" t="n"/>
      <c r="D5" s="6" t="n"/>
      <c r="E5" s="6" t="inlineStr"/>
      <c r="F5" s="6" t="inlineStr"/>
      <c r="G5" s="6" t="inlineStr"/>
      <c r="H5" s="6" t="inlineStr"/>
      <c r="I5" s="6" t="n"/>
      <c r="J5" s="6" t="n"/>
    </row>
    <row r="6">
      <c r="A6" s="6" t="n"/>
      <c r="B6" s="6" t="n"/>
      <c r="C6" s="6" t="n"/>
      <c r="D6" s="6" t="n"/>
      <c r="E6" s="6" t="inlineStr"/>
      <c r="F6" s="6" t="inlineStr"/>
      <c r="G6" s="6" t="inlineStr"/>
      <c r="H6" s="6" t="inlineStr"/>
      <c r="I6" s="6" t="n"/>
      <c r="J6" s="6" t="n"/>
    </row>
    <row r="7">
      <c r="A7" s="6" t="n"/>
      <c r="B7" s="6" t="n"/>
      <c r="C7" s="6" t="n"/>
      <c r="D7" s="6" t="n"/>
      <c r="E7" s="6" t="inlineStr"/>
      <c r="F7" s="6" t="inlineStr"/>
      <c r="G7" s="6" t="inlineStr"/>
      <c r="H7" s="6" t="inlineStr"/>
      <c r="I7" s="6" t="n"/>
      <c r="J7" s="6" t="n"/>
    </row>
    <row r="8">
      <c r="A8" s="6" t="n"/>
      <c r="B8" s="6" t="n"/>
      <c r="C8" s="6" t="n"/>
      <c r="D8" s="6" t="n"/>
      <c r="E8" s="6" t="inlineStr"/>
      <c r="F8" s="6" t="inlineStr"/>
      <c r="G8" s="6" t="inlineStr"/>
      <c r="H8" s="6" t="inlineStr"/>
      <c r="I8" s="6" t="n"/>
      <c r="J8" s="6" t="n"/>
    </row>
    <row r="9">
      <c r="A9" s="6" t="n"/>
      <c r="B9" s="6" t="n"/>
      <c r="C9" s="6" t="n"/>
      <c r="D9" s="6" t="n"/>
      <c r="E9" s="6" t="inlineStr"/>
      <c r="F9" s="6" t="inlineStr"/>
      <c r="G9" s="6" t="inlineStr"/>
      <c r="H9" s="6" t="inlineStr"/>
      <c r="I9" s="6" t="n"/>
      <c r="J9" s="6" t="n"/>
    </row>
    <row r="10">
      <c r="A10" s="6" t="n"/>
      <c r="B10" s="6" t="n"/>
      <c r="C10" s="6" t="n"/>
      <c r="D10" s="6" t="n"/>
      <c r="E10" s="6" t="inlineStr"/>
      <c r="F10" s="6" t="inlineStr"/>
      <c r="G10" s="6" t="inlineStr"/>
      <c r="H10" s="6" t="inlineStr"/>
      <c r="I10" s="6" t="n"/>
      <c r="J10" s="6" t="n"/>
    </row>
    <row r="11">
      <c r="A11" s="6" t="n"/>
      <c r="B11" s="6" t="n"/>
      <c r="C11" s="6" t="n"/>
      <c r="D11" s="6" t="n"/>
      <c r="E11" s="6" t="inlineStr"/>
      <c r="F11" s="6" t="inlineStr"/>
      <c r="G11" s="6" t="inlineStr"/>
      <c r="H11" s="6" t="inlineStr"/>
      <c r="I11" s="6" t="n"/>
      <c r="J11" s="6" t="n"/>
    </row>
    <row r="12">
      <c r="A12" s="6" t="n"/>
      <c r="B12" s="6" t="n"/>
      <c r="C12" s="6" t="n"/>
      <c r="D12" s="6" t="n"/>
      <c r="E12" s="6" t="inlineStr"/>
      <c r="F12" s="6" t="inlineStr"/>
      <c r="G12" s="6" t="inlineStr"/>
      <c r="H12" s="6" t="inlineStr"/>
      <c r="I12" s="6" t="n"/>
      <c r="J12" s="6" t="n"/>
    </row>
    <row r="13">
      <c r="A13" s="6" t="n"/>
      <c r="B13" s="6" t="n"/>
      <c r="C13" s="6" t="n"/>
      <c r="D13" s="6" t="n"/>
      <c r="E13" s="6" t="inlineStr"/>
      <c r="F13" s="6" t="inlineStr"/>
      <c r="G13" s="6" t="inlineStr"/>
      <c r="H13" s="6" t="inlineStr"/>
      <c r="I13" s="6" t="n"/>
      <c r="J13" s="6" t="n"/>
    </row>
    <row r="14">
      <c r="A14" s="6" t="n"/>
      <c r="B14" s="6" t="n"/>
      <c r="C14" s="6" t="n"/>
      <c r="D14" s="6" t="n"/>
      <c r="E14" s="6" t="inlineStr"/>
      <c r="F14" s="6" t="inlineStr"/>
      <c r="G14" s="6" t="inlineStr"/>
      <c r="H14" s="6" t="inlineStr"/>
      <c r="I14" s="6" t="n"/>
      <c r="J14" s="6" t="n"/>
    </row>
    <row r="15">
      <c r="A15" s="6" t="n"/>
      <c r="B15" s="6" t="n"/>
      <c r="C15" s="6" t="n"/>
      <c r="D15" s="6" t="n"/>
      <c r="E15" s="6" t="inlineStr"/>
      <c r="F15" s="6" t="inlineStr"/>
      <c r="G15" s="6" t="inlineStr"/>
      <c r="H15" s="6" t="inlineStr"/>
      <c r="I15" s="6" t="n"/>
      <c r="J15" s="6" t="n"/>
    </row>
    <row r="16">
      <c r="A16" s="6" t="n"/>
      <c r="B16" s="6" t="n"/>
      <c r="C16" s="6" t="n"/>
      <c r="D16" s="6" t="n"/>
      <c r="E16" s="6" t="inlineStr"/>
      <c r="F16" s="6" t="inlineStr"/>
      <c r="G16" s="6" t="inlineStr"/>
      <c r="H16" s="6" t="inlineStr"/>
      <c r="I16" s="6" t="n"/>
      <c r="J16" s="6" t="n"/>
    </row>
    <row r="17">
      <c r="A17" s="6" t="n"/>
      <c r="B17" s="6" t="n"/>
      <c r="C17" s="6" t="n"/>
      <c r="D17" s="6" t="n"/>
      <c r="E17" s="6" t="inlineStr"/>
      <c r="F17" s="6" t="inlineStr"/>
      <c r="G17" s="6" t="inlineStr"/>
      <c r="H17" s="6" t="inlineStr"/>
      <c r="I17" s="6" t="n"/>
      <c r="J17" s="6" t="n"/>
    </row>
    <row r="18">
      <c r="A18" s="6" t="n"/>
      <c r="B18" s="6" t="n"/>
      <c r="C18" s="6" t="n"/>
      <c r="D18" s="6" t="n"/>
      <c r="E18" s="6" t="inlineStr"/>
      <c r="F18" s="6" t="inlineStr"/>
      <c r="G18" s="6" t="inlineStr"/>
      <c r="H18" s="6" t="inlineStr"/>
      <c r="I18" s="6" t="n"/>
      <c r="J18" s="6" t="n"/>
    </row>
    <row r="19">
      <c r="A19" s="6" t="n"/>
      <c r="B19" s="6" t="n"/>
      <c r="C19" s="6" t="n"/>
      <c r="D19" s="6" t="n"/>
      <c r="E19" s="6" t="inlineStr"/>
      <c r="F19" s="6" t="inlineStr"/>
      <c r="G19" s="6" t="inlineStr"/>
      <c r="H19" s="6" t="inlineStr"/>
      <c r="I19" s="6" t="n"/>
      <c r="J19" s="6" t="n"/>
    </row>
    <row r="20">
      <c r="A20" s="6" t="n"/>
      <c r="B20" s="6" t="n"/>
      <c r="C20" s="6" t="n"/>
      <c r="D20" s="6" t="n"/>
      <c r="E20" s="6" t="inlineStr"/>
      <c r="F20" s="6" t="inlineStr"/>
      <c r="G20" s="6" t="inlineStr"/>
      <c r="H20" s="6" t="inlineStr"/>
      <c r="I20" s="6" t="n"/>
      <c r="J20" s="6" t="n"/>
    </row>
    <row r="21">
      <c r="A21" s="6" t="n"/>
      <c r="B21" s="6" t="n"/>
      <c r="C21" s="6" t="n"/>
      <c r="D21" s="6" t="n"/>
      <c r="E21" s="6" t="inlineStr"/>
      <c r="F21" s="6" t="inlineStr"/>
      <c r="G21" s="6" t="inlineStr"/>
      <c r="H21" s="6" t="inlineStr"/>
      <c r="I21" s="6" t="n"/>
      <c r="J21" s="6" t="n"/>
    </row>
    <row r="22">
      <c r="A22" s="6" t="n"/>
      <c r="B22" s="6" t="n"/>
      <c r="C22" s="6" t="n"/>
      <c r="D22" s="6" t="n"/>
      <c r="E22" s="6" t="inlineStr"/>
      <c r="F22" s="6" t="inlineStr"/>
      <c r="G22" s="6" t="inlineStr"/>
      <c r="H22" s="6" t="inlineStr"/>
      <c r="I22" s="6" t="n"/>
      <c r="J22" s="6" t="n"/>
    </row>
    <row r="23">
      <c r="A23" s="6" t="n"/>
      <c r="B23" s="6" t="n"/>
      <c r="C23" s="6" t="n"/>
      <c r="D23" s="6" t="n"/>
      <c r="E23" s="6" t="inlineStr"/>
      <c r="F23" s="6" t="inlineStr"/>
      <c r="G23" s="6" t="inlineStr"/>
      <c r="H23" s="6" t="inlineStr"/>
      <c r="I23" s="6" t="n"/>
      <c r="J23" s="6" t="n"/>
    </row>
    <row r="24">
      <c r="A24" s="6" t="n"/>
      <c r="B24" s="6" t="n"/>
      <c r="C24" s="6" t="n"/>
      <c r="D24" s="6" t="n"/>
      <c r="E24" s="6" t="inlineStr"/>
      <c r="F24" s="6" t="inlineStr"/>
      <c r="G24" s="6" t="inlineStr"/>
      <c r="H24" s="6" t="inlineStr"/>
      <c r="I24" s="6" t="n"/>
      <c r="J24" s="6" t="n"/>
    </row>
    <row r="25">
      <c r="A25" s="6" t="n"/>
      <c r="B25" s="6" t="n"/>
      <c r="C25" s="6" t="n"/>
      <c r="D25" s="6" t="n"/>
      <c r="E25" s="6" t="inlineStr"/>
      <c r="F25" s="6" t="inlineStr"/>
      <c r="G25" s="6" t="inlineStr"/>
      <c r="H25" s="6" t="inlineStr"/>
      <c r="I25" s="6" t="n"/>
      <c r="J25" s="6" t="n"/>
    </row>
    <row r="26">
      <c r="A26" s="6" t="n"/>
      <c r="B26" s="6" t="n"/>
      <c r="C26" s="6" t="n"/>
      <c r="D26" s="6" t="n"/>
      <c r="E26" s="6" t="inlineStr"/>
      <c r="F26" s="6" t="inlineStr"/>
      <c r="G26" s="6" t="inlineStr"/>
      <c r="H26" s="6" t="inlineStr"/>
      <c r="I26" s="6" t="n"/>
      <c r="J26" s="6" t="n"/>
    </row>
    <row r="27">
      <c r="A27" s="6" t="n"/>
      <c r="B27" s="6" t="n"/>
      <c r="C27" s="6" t="n"/>
      <c r="D27" s="6" t="n"/>
      <c r="E27" s="6" t="inlineStr"/>
      <c r="F27" s="6" t="inlineStr"/>
      <c r="G27" s="6" t="inlineStr"/>
      <c r="H27" s="6" t="inlineStr"/>
      <c r="I27" s="6" t="n"/>
      <c r="J27" s="6" t="n"/>
    </row>
    <row r="28">
      <c r="A28" s="6" t="n"/>
      <c r="B28" s="6" t="n"/>
      <c r="C28" s="6" t="n"/>
      <c r="D28" s="6" t="n"/>
      <c r="E28" s="6" t="inlineStr"/>
      <c r="F28" s="6" t="inlineStr"/>
      <c r="G28" s="6" t="inlineStr"/>
      <c r="H28" s="6" t="inlineStr"/>
      <c r="I28" s="6" t="n"/>
      <c r="J28" s="6" t="n"/>
    </row>
    <row r="29">
      <c r="A29" s="6" t="n"/>
      <c r="B29" s="6" t="n"/>
      <c r="C29" s="6" t="n"/>
      <c r="D29" s="6" t="n"/>
      <c r="E29" s="6" t="inlineStr"/>
      <c r="F29" s="6" t="inlineStr"/>
      <c r="G29" s="6" t="inlineStr"/>
      <c r="H29" s="6" t="inlineStr"/>
      <c r="I29" s="6" t="n"/>
      <c r="J29" s="6" t="n"/>
    </row>
    <row r="30">
      <c r="A30" s="6" t="n"/>
      <c r="B30" s="6" t="n"/>
      <c r="C30" s="6" t="n"/>
      <c r="D30" s="6" t="n"/>
      <c r="E30" s="6" t="inlineStr"/>
      <c r="F30" s="6" t="inlineStr"/>
      <c r="G30" s="6" t="inlineStr"/>
      <c r="H30" s="6" t="inlineStr"/>
      <c r="I30" s="6" t="n"/>
      <c r="J30" s="6" t="n"/>
    </row>
    <row r="31">
      <c r="A31" s="6" t="n"/>
      <c r="B31" s="6" t="n"/>
      <c r="C31" s="6" t="n"/>
      <c r="D31" s="6" t="n"/>
      <c r="E31" s="6" t="inlineStr"/>
      <c r="F31" s="6" t="inlineStr"/>
      <c r="G31" s="6" t="inlineStr"/>
      <c r="H31" s="6" t="inlineStr"/>
      <c r="I31" s="6" t="n"/>
      <c r="J31" s="6" t="n"/>
    </row>
    <row r="32">
      <c r="A32" s="6" t="n"/>
      <c r="B32" s="6" t="n"/>
      <c r="C32" s="6" t="n"/>
      <c r="D32" s="6" t="n"/>
      <c r="E32" s="6" t="inlineStr"/>
      <c r="F32" s="6" t="inlineStr"/>
      <c r="G32" s="6" t="inlineStr"/>
      <c r="H32" s="6" t="inlineStr"/>
      <c r="I32" s="6" t="n"/>
      <c r="J32" s="6" t="n"/>
    </row>
    <row r="33">
      <c r="A33" s="6" t="n"/>
      <c r="B33" s="6" t="n"/>
      <c r="C33" s="6" t="n"/>
      <c r="D33" s="6" t="n"/>
      <c r="E33" s="6" t="inlineStr"/>
      <c r="F33" s="6" t="inlineStr"/>
      <c r="G33" s="6" t="inlineStr"/>
      <c r="H33" s="6" t="inlineStr"/>
      <c r="I33" s="6" t="n"/>
      <c r="J33" s="6" t="n"/>
    </row>
    <row r="34">
      <c r="A34" s="6" t="n"/>
      <c r="B34" s="6" t="n"/>
      <c r="C34" s="6" t="n"/>
      <c r="D34" s="6" t="n"/>
      <c r="E34" s="6" t="inlineStr"/>
      <c r="F34" s="6" t="inlineStr"/>
      <c r="G34" s="6" t="inlineStr"/>
      <c r="H34" s="6" t="inlineStr"/>
      <c r="I34" s="6" t="n"/>
      <c r="J34" s="6" t="n"/>
    </row>
    <row r="35">
      <c r="A35" s="6" t="n"/>
      <c r="B35" s="6" t="n"/>
      <c r="C35" s="6" t="n"/>
      <c r="D35" s="6" t="n"/>
      <c r="E35" s="6" t="inlineStr"/>
      <c r="F35" s="6" t="inlineStr"/>
      <c r="G35" s="6" t="inlineStr"/>
      <c r="H35" s="6" t="inlineStr"/>
      <c r="I35" s="6" t="n"/>
      <c r="J35" s="6" t="n"/>
    </row>
    <row r="36">
      <c r="A36" s="6" t="n"/>
      <c r="B36" s="6" t="n"/>
      <c r="C36" s="6" t="n"/>
      <c r="D36" s="6" t="n"/>
      <c r="E36" s="6" t="inlineStr"/>
      <c r="F36" s="6" t="inlineStr"/>
      <c r="G36" s="6" t="inlineStr"/>
      <c r="H36" s="6" t="inlineStr"/>
      <c r="I36" s="6" t="n"/>
      <c r="J36" s="6" t="n"/>
    </row>
    <row r="37">
      <c r="A37" s="6" t="n"/>
      <c r="B37" s="6" t="n"/>
      <c r="C37" s="6" t="n"/>
      <c r="D37" s="6" t="n"/>
      <c r="E37" s="6" t="inlineStr"/>
      <c r="F37" s="6" t="inlineStr"/>
      <c r="G37" s="6" t="inlineStr"/>
      <c r="H37" s="6" t="inlineStr"/>
      <c r="I37" s="6" t="n"/>
      <c r="J37" s="6" t="n"/>
    </row>
    <row r="38">
      <c r="A38" s="6" t="n"/>
      <c r="B38" s="6" t="n"/>
      <c r="C38" s="6" t="n"/>
      <c r="D38" s="6" t="n"/>
      <c r="E38" s="6" t="inlineStr"/>
      <c r="F38" s="6" t="inlineStr"/>
      <c r="G38" s="6" t="inlineStr"/>
      <c r="H38" s="6" t="inlineStr"/>
      <c r="I38" s="6" t="n"/>
      <c r="J38" s="6" t="n"/>
    </row>
    <row r="39">
      <c r="A39" s="6" t="n"/>
      <c r="B39" s="6" t="n"/>
      <c r="C39" s="6" t="n"/>
      <c r="D39" s="6" t="n"/>
      <c r="E39" s="6" t="inlineStr"/>
      <c r="F39" s="6" t="inlineStr"/>
      <c r="G39" s="6" t="inlineStr"/>
      <c r="H39" s="6" t="inlineStr"/>
      <c r="I39" s="6" t="n"/>
      <c r="J39" s="6" t="n"/>
    </row>
    <row r="40">
      <c r="A40" s="6" t="n"/>
      <c r="B40" s="6" t="n"/>
      <c r="C40" s="6" t="n"/>
      <c r="D40" s="6" t="n"/>
      <c r="E40" s="6" t="inlineStr"/>
      <c r="F40" s="6" t="inlineStr"/>
      <c r="G40" s="6" t="inlineStr"/>
      <c r="H40" s="6" t="inlineStr"/>
      <c r="I40" s="6" t="n"/>
      <c r="J40" s="6" t="n"/>
    </row>
    <row r="41">
      <c r="A41" s="6" t="n"/>
      <c r="B41" s="6" t="n"/>
      <c r="C41" s="6" t="n"/>
      <c r="D41" s="6" t="n"/>
      <c r="E41" s="6" t="inlineStr"/>
      <c r="F41" s="6" t="inlineStr"/>
      <c r="G41" s="6" t="inlineStr"/>
      <c r="H41" s="6" t="inlineStr"/>
      <c r="I41" s="6" t="n"/>
      <c r="J41" s="6" t="n"/>
    </row>
    <row r="42">
      <c r="A42" s="6" t="n"/>
      <c r="B42" s="6" t="n"/>
      <c r="C42" s="6" t="n"/>
      <c r="D42" s="6" t="n"/>
      <c r="E42" s="6" t="inlineStr"/>
      <c r="F42" s="6" t="inlineStr"/>
      <c r="G42" s="6" t="inlineStr"/>
      <c r="H42" s="6" t="inlineStr"/>
      <c r="I42" s="6" t="n"/>
      <c r="J42" s="6" t="n"/>
    </row>
    <row r="43">
      <c r="A43" s="6" t="n"/>
      <c r="B43" s="6" t="n"/>
      <c r="C43" s="6" t="n"/>
      <c r="D43" s="6" t="n"/>
      <c r="E43" s="6" t="inlineStr"/>
      <c r="F43" s="6" t="inlineStr"/>
      <c r="G43" s="6" t="inlineStr"/>
      <c r="H43" s="6" t="inlineStr"/>
      <c r="I43" s="6" t="n"/>
      <c r="J43" s="6" t="n"/>
    </row>
    <row r="44">
      <c r="A44" s="6" t="n"/>
      <c r="B44" s="6" t="n"/>
      <c r="C44" s="6" t="n"/>
      <c r="D44" s="6" t="n"/>
      <c r="E44" s="6" t="inlineStr"/>
      <c r="F44" s="6" t="inlineStr"/>
      <c r="G44" s="6" t="inlineStr"/>
      <c r="H44" s="6" t="inlineStr"/>
      <c r="I44" s="6" t="n"/>
      <c r="J44" s="6" t="n"/>
    </row>
    <row r="45">
      <c r="A45" s="6" t="n"/>
      <c r="B45" s="6" t="n"/>
      <c r="C45" s="6" t="n"/>
      <c r="D45" s="6" t="n"/>
      <c r="E45" s="6" t="inlineStr"/>
      <c r="F45" s="6" t="inlineStr"/>
      <c r="G45" s="6" t="inlineStr"/>
      <c r="H45" s="6" t="inlineStr"/>
      <c r="I45" s="6" t="n"/>
      <c r="J45" s="6" t="n"/>
    </row>
    <row r="46">
      <c r="A46" s="6" t="n"/>
      <c r="B46" s="6" t="n"/>
      <c r="C46" s="6" t="n"/>
      <c r="D46" s="6" t="n"/>
      <c r="E46" s="6" t="inlineStr"/>
      <c r="F46" s="6" t="inlineStr"/>
      <c r="G46" s="6" t="inlineStr"/>
      <c r="H46" s="6" t="inlineStr"/>
      <c r="I46" s="6" t="n"/>
      <c r="J46" s="6" t="n"/>
    </row>
    <row r="47">
      <c r="A47" s="6" t="n"/>
      <c r="B47" s="6" t="n"/>
      <c r="C47" s="6" t="n"/>
      <c r="D47" s="6" t="n"/>
      <c r="E47" s="6" t="inlineStr"/>
      <c r="F47" s="6" t="inlineStr"/>
      <c r="G47" s="6" t="inlineStr"/>
      <c r="H47" s="6" t="inlineStr"/>
      <c r="I47" s="6" t="n"/>
      <c r="J47" s="6" t="n"/>
    </row>
    <row r="48">
      <c r="A48" s="6" t="n"/>
      <c r="B48" s="6" t="n"/>
      <c r="C48" s="6" t="n"/>
      <c r="D48" s="6" t="n"/>
      <c r="E48" s="6" t="inlineStr"/>
      <c r="F48" s="6" t="inlineStr"/>
      <c r="G48" s="6" t="inlineStr"/>
      <c r="H48" s="6" t="inlineStr"/>
      <c r="I48" s="6" t="n"/>
      <c r="J48" s="6" t="n"/>
    </row>
    <row r="49">
      <c r="A49" s="6" t="n"/>
      <c r="B49" s="6" t="n"/>
      <c r="C49" s="6" t="n"/>
      <c r="D49" s="6" t="n"/>
      <c r="E49" s="6" t="inlineStr"/>
      <c r="F49" s="6" t="inlineStr"/>
      <c r="G49" s="6" t="inlineStr"/>
      <c r="H49" s="6" t="inlineStr"/>
      <c r="I49" s="6" t="n"/>
      <c r="J49" s="6" t="n"/>
    </row>
    <row r="50">
      <c r="A50" s="6" t="n"/>
      <c r="B50" s="6" t="n"/>
      <c r="C50" s="6" t="n"/>
      <c r="D50" s="6" t="n"/>
      <c r="E50" s="6" t="inlineStr"/>
      <c r="F50" s="6" t="inlineStr"/>
      <c r="G50" s="6" t="inlineStr"/>
      <c r="H50" s="6" t="inlineStr"/>
      <c r="I50" s="6" t="n"/>
      <c r="J50" s="6" t="n"/>
    </row>
    <row r="51">
      <c r="A51" s="6" t="n"/>
      <c r="B51" s="6" t="n"/>
      <c r="C51" s="6" t="n"/>
      <c r="D51" s="6" t="n"/>
      <c r="E51" s="6" t="inlineStr"/>
      <c r="F51" s="6" t="inlineStr"/>
      <c r="G51" s="6" t="inlineStr"/>
      <c r="H51" s="6" t="inlineStr"/>
      <c r="I51" s="6" t="n"/>
      <c r="J51" s="6" t="n"/>
    </row>
    <row r="52">
      <c r="A52" s="6" t="n"/>
      <c r="B52" s="6" t="n"/>
      <c r="C52" s="6" t="n"/>
      <c r="D52" s="6" t="n"/>
      <c r="E52" s="6" t="inlineStr"/>
      <c r="F52" s="6" t="inlineStr"/>
      <c r="G52" s="6" t="inlineStr"/>
      <c r="H52" s="6" t="inlineStr"/>
      <c r="I52" s="6" t="n"/>
      <c r="J52" s="6" t="n"/>
    </row>
    <row r="53">
      <c r="A53" s="6" t="n"/>
      <c r="B53" s="6" t="n"/>
      <c r="C53" s="6" t="n"/>
      <c r="D53" s="6" t="n"/>
      <c r="E53" s="6" t="inlineStr"/>
      <c r="F53" s="6" t="inlineStr"/>
      <c r="G53" s="6" t="inlineStr"/>
      <c r="H53" s="6" t="inlineStr"/>
      <c r="I53" s="6" t="n"/>
      <c r="J53" s="6" t="n"/>
    </row>
    <row r="54">
      <c r="A54" s="6" t="n"/>
      <c r="B54" s="6" t="n"/>
      <c r="C54" s="6" t="n"/>
      <c r="D54" s="6" t="n"/>
      <c r="E54" s="6" t="inlineStr"/>
      <c r="F54" s="6" t="inlineStr"/>
      <c r="G54" s="6" t="inlineStr"/>
      <c r="H54" s="6" t="inlineStr"/>
      <c r="I54" s="6" t="n"/>
      <c r="J54" s="6" t="n"/>
    </row>
    <row r="55">
      <c r="A55" s="6" t="n"/>
      <c r="B55" s="6" t="n"/>
      <c r="C55" s="6" t="n"/>
      <c r="D55" s="6" t="n"/>
      <c r="E55" s="6" t="inlineStr"/>
      <c r="F55" s="6" t="inlineStr"/>
      <c r="G55" s="6" t="inlineStr"/>
      <c r="H55" s="6" t="inlineStr"/>
      <c r="I55" s="6" t="n"/>
      <c r="J55" s="6" t="n"/>
    </row>
    <row r="56">
      <c r="A56" s="6" t="n"/>
      <c r="B56" s="6" t="n"/>
      <c r="C56" s="6" t="n"/>
      <c r="D56" s="6" t="n"/>
      <c r="E56" s="6" t="inlineStr"/>
      <c r="F56" s="6" t="inlineStr"/>
      <c r="G56" s="6" t="inlineStr"/>
      <c r="H56" s="6" t="inlineStr"/>
      <c r="I56" s="6" t="n"/>
      <c r="J56" s="6" t="n"/>
    </row>
    <row r="57">
      <c r="A57" s="6" t="n"/>
      <c r="B57" s="6" t="n"/>
      <c r="C57" s="6" t="n"/>
      <c r="D57" s="6" t="n"/>
      <c r="E57" s="6" t="inlineStr"/>
      <c r="F57" s="6" t="inlineStr"/>
      <c r="G57" s="6" t="inlineStr"/>
      <c r="H57" s="6" t="inlineStr"/>
      <c r="I57" s="6" t="n"/>
      <c r="J57" s="6" t="n"/>
    </row>
    <row r="58">
      <c r="A58" s="6" t="n"/>
      <c r="B58" s="6" t="n"/>
      <c r="C58" s="6" t="n"/>
      <c r="D58" s="6" t="n"/>
      <c r="E58" s="6" t="inlineStr"/>
      <c r="F58" s="6" t="inlineStr"/>
      <c r="G58" s="6" t="inlineStr"/>
      <c r="H58" s="6" t="inlineStr"/>
      <c r="I58" s="6" t="n"/>
      <c r="J58" s="6" t="n"/>
    </row>
    <row r="59">
      <c r="A59" s="6" t="n"/>
      <c r="B59" s="6" t="n"/>
      <c r="C59" s="6" t="n"/>
      <c r="D59" s="6" t="n"/>
      <c r="E59" s="6" t="inlineStr"/>
      <c r="F59" s="6" t="inlineStr"/>
      <c r="G59" s="6" t="inlineStr"/>
      <c r="H59" s="6" t="inlineStr"/>
      <c r="I59" s="6" t="n"/>
      <c r="J59" s="6" t="n"/>
    </row>
    <row r="60">
      <c r="A60" s="6" t="n"/>
      <c r="B60" s="6" t="n"/>
      <c r="C60" s="6" t="n"/>
      <c r="D60" s="6" t="n"/>
      <c r="E60" s="6" t="inlineStr"/>
      <c r="F60" s="6" t="inlineStr"/>
      <c r="G60" s="6" t="inlineStr"/>
      <c r="H60" s="6" t="inlineStr"/>
      <c r="I60" s="6" t="n"/>
      <c r="J60" s="6" t="n"/>
    </row>
    <row r="61">
      <c r="A61" s="6" t="n"/>
      <c r="B61" s="6" t="n"/>
      <c r="C61" s="6" t="n"/>
      <c r="D61" s="6" t="n"/>
      <c r="E61" s="6" t="inlineStr"/>
      <c r="F61" s="6" t="inlineStr"/>
      <c r="G61" s="6" t="inlineStr"/>
      <c r="H61" s="6" t="inlineStr"/>
      <c r="I61" s="6" t="n"/>
      <c r="J61" s="6" t="n"/>
    </row>
    <row r="62">
      <c r="A62" s="6" t="n"/>
      <c r="B62" s="6" t="n"/>
      <c r="C62" s="6" t="n"/>
      <c r="D62" s="6" t="n"/>
      <c r="E62" s="6" t="inlineStr"/>
      <c r="F62" s="6" t="inlineStr"/>
      <c r="G62" s="6" t="inlineStr"/>
      <c r="H62" s="6" t="inlineStr"/>
      <c r="I62" s="6" t="n"/>
      <c r="J62" s="6" t="n"/>
    </row>
    <row r="63">
      <c r="A63" s="6" t="n"/>
      <c r="B63" s="6" t="n"/>
      <c r="C63" s="6" t="n"/>
      <c r="D63" s="6" t="n"/>
      <c r="E63" s="6" t="inlineStr"/>
      <c r="F63" s="6" t="inlineStr"/>
      <c r="G63" s="6" t="inlineStr"/>
      <c r="H63" s="6" t="inlineStr"/>
      <c r="I63" s="6" t="n"/>
      <c r="J63" s="6" t="n"/>
    </row>
    <row r="64">
      <c r="A64" s="6" t="n"/>
      <c r="B64" s="6" t="n"/>
      <c r="C64" s="6" t="n"/>
      <c r="D64" s="6" t="n"/>
      <c r="E64" s="6" t="inlineStr"/>
      <c r="F64" s="6" t="inlineStr"/>
      <c r="G64" s="6" t="inlineStr"/>
      <c r="H64" s="6" t="inlineStr"/>
      <c r="I64" s="6" t="n"/>
      <c r="J64" s="6" t="n"/>
    </row>
    <row r="65">
      <c r="A65" s="6" t="n"/>
      <c r="B65" s="6" t="n"/>
      <c r="C65" s="6" t="n"/>
      <c r="D65" s="6" t="n"/>
      <c r="E65" s="6" t="inlineStr"/>
      <c r="F65" s="6" t="inlineStr"/>
      <c r="G65" s="6" t="inlineStr"/>
      <c r="H65" s="6" t="inlineStr"/>
      <c r="I65" s="6" t="n"/>
      <c r="J65" s="6" t="n"/>
    </row>
    <row r="66">
      <c r="A66" s="6" t="n"/>
      <c r="B66" s="6" t="n"/>
      <c r="C66" s="6" t="n"/>
      <c r="D66" s="6" t="n"/>
      <c r="E66" s="6" t="inlineStr"/>
      <c r="F66" s="6" t="inlineStr"/>
      <c r="G66" s="6" t="inlineStr"/>
      <c r="H66" s="6" t="inlineStr"/>
      <c r="I66" s="6" t="n"/>
      <c r="J66" s="6" t="n"/>
    </row>
    <row r="67">
      <c r="A67" s="6" t="n"/>
      <c r="B67" s="6" t="n"/>
      <c r="C67" s="6" t="n"/>
      <c r="D67" s="6" t="n"/>
      <c r="E67" s="6" t="inlineStr"/>
      <c r="F67" s="6" t="inlineStr"/>
      <c r="G67" s="6" t="inlineStr"/>
      <c r="H67" s="6" t="inlineStr"/>
      <c r="I67" s="6" t="n"/>
      <c r="J67" s="6" t="n"/>
    </row>
    <row r="68">
      <c r="A68" s="6" t="n"/>
      <c r="B68" s="6" t="n"/>
      <c r="C68" s="6" t="n"/>
      <c r="D68" s="6" t="n"/>
      <c r="E68" s="6" t="inlineStr"/>
      <c r="F68" s="6" t="inlineStr"/>
      <c r="G68" s="6" t="inlineStr"/>
      <c r="H68" s="6" t="inlineStr"/>
      <c r="I68" s="6" t="n"/>
      <c r="J68" s="6" t="n"/>
    </row>
    <row r="69">
      <c r="A69" s="6" t="n"/>
      <c r="B69" s="6" t="n"/>
      <c r="C69" s="6" t="n"/>
      <c r="D69" s="6" t="n"/>
      <c r="E69" s="6" t="inlineStr"/>
      <c r="F69" s="6" t="inlineStr"/>
      <c r="G69" s="6" t="inlineStr"/>
      <c r="H69" s="6" t="inlineStr"/>
      <c r="I69" s="6" t="n"/>
      <c r="J69" s="6" t="n"/>
    </row>
    <row r="70">
      <c r="A70" s="6" t="n"/>
      <c r="B70" s="6" t="n"/>
      <c r="C70" s="6" t="n"/>
      <c r="D70" s="6" t="n"/>
      <c r="E70" s="6" t="inlineStr"/>
      <c r="F70" s="6" t="inlineStr"/>
      <c r="G70" s="6" t="inlineStr"/>
      <c r="H70" s="6" t="inlineStr"/>
      <c r="I70" s="6" t="n"/>
      <c r="J70" s="6" t="n"/>
    </row>
    <row r="71">
      <c r="A71" s="6" t="n"/>
      <c r="B71" s="6" t="n"/>
      <c r="C71" s="6" t="n"/>
      <c r="D71" s="6" t="n"/>
      <c r="E71" s="6" t="inlineStr"/>
      <c r="F71" s="6" t="inlineStr"/>
      <c r="G71" s="6" t="inlineStr"/>
      <c r="H71" s="6" t="inlineStr"/>
      <c r="I71" s="6" t="n"/>
      <c r="J71" s="6" t="n"/>
    </row>
    <row r="72">
      <c r="A72" s="6" t="n"/>
      <c r="B72" s="6" t="n"/>
      <c r="C72" s="6" t="n"/>
      <c r="D72" s="6" t="n"/>
      <c r="E72" s="6" t="inlineStr"/>
      <c r="F72" s="6" t="inlineStr"/>
      <c r="G72" s="6" t="inlineStr"/>
      <c r="H72" s="6" t="inlineStr"/>
      <c r="I72" s="6" t="n"/>
      <c r="J72" s="6" t="n"/>
    </row>
    <row r="73">
      <c r="A73" s="6" t="n"/>
      <c r="B73" s="6" t="n"/>
      <c r="C73" s="6" t="n"/>
      <c r="D73" s="6" t="n"/>
      <c r="E73" s="6" t="inlineStr"/>
      <c r="F73" s="6" t="inlineStr"/>
      <c r="G73" s="6" t="inlineStr"/>
      <c r="H73" s="6" t="inlineStr"/>
      <c r="I73" s="6" t="n"/>
      <c r="J73" s="6" t="n"/>
    </row>
    <row r="74">
      <c r="A74" s="6" t="n"/>
      <c r="B74" s="6" t="n"/>
      <c r="C74" s="6" t="n"/>
      <c r="D74" s="6" t="n"/>
      <c r="E74" s="6" t="inlineStr"/>
      <c r="F74" s="6" t="inlineStr"/>
      <c r="G74" s="6" t="inlineStr"/>
      <c r="H74" s="6" t="inlineStr"/>
      <c r="I74" s="6" t="n"/>
      <c r="J74" s="6" t="n"/>
    </row>
    <row r="75">
      <c r="A75" s="6" t="n"/>
      <c r="B75" s="6" t="n"/>
      <c r="C75" s="6" t="n"/>
      <c r="D75" s="6" t="n"/>
      <c r="E75" s="6" t="inlineStr"/>
      <c r="F75" s="6" t="inlineStr"/>
      <c r="G75" s="6" t="inlineStr"/>
      <c r="H75" s="6" t="inlineStr"/>
      <c r="I75" s="6" t="n"/>
      <c r="J75" s="6" t="n"/>
    </row>
    <row r="76">
      <c r="A76" s="6" t="n"/>
      <c r="B76" s="6" t="n"/>
      <c r="C76" s="6" t="n"/>
      <c r="D76" s="6" t="n"/>
      <c r="E76" s="6" t="inlineStr"/>
      <c r="F76" s="6" t="inlineStr"/>
      <c r="G76" s="6" t="inlineStr"/>
      <c r="H76" s="6" t="inlineStr"/>
      <c r="I76" s="6" t="n"/>
      <c r="J76" s="6" t="n"/>
    </row>
    <row r="77">
      <c r="A77" s="6" t="n"/>
      <c r="B77" s="6" t="n"/>
      <c r="C77" s="6" t="n"/>
      <c r="D77" s="6" t="n"/>
      <c r="E77" s="6" t="inlineStr"/>
      <c r="F77" s="6" t="inlineStr"/>
      <c r="G77" s="6" t="inlineStr"/>
      <c r="H77" s="6" t="inlineStr"/>
      <c r="I77" s="6" t="n"/>
      <c r="J77" s="6" t="n"/>
    </row>
    <row r="78">
      <c r="A78" s="6" t="n"/>
      <c r="B78" s="6" t="n"/>
      <c r="C78" s="6" t="n"/>
      <c r="D78" s="6" t="n"/>
      <c r="E78" s="6" t="inlineStr"/>
      <c r="F78" s="6" t="inlineStr"/>
      <c r="G78" s="6" t="inlineStr"/>
      <c r="H78" s="6" t="inlineStr"/>
      <c r="I78" s="6" t="n"/>
      <c r="J78" s="6" t="n"/>
    </row>
    <row r="79">
      <c r="A79" s="6" t="n"/>
      <c r="B79" s="6" t="n"/>
      <c r="C79" s="6" t="n"/>
      <c r="D79" s="6" t="n"/>
      <c r="E79" s="6" t="inlineStr"/>
      <c r="F79" s="6" t="inlineStr"/>
      <c r="G79" s="6" t="inlineStr"/>
      <c r="H79" s="6" t="inlineStr"/>
      <c r="I79" s="6" t="n"/>
      <c r="J79" s="6" t="n"/>
    </row>
    <row r="80">
      <c r="A80" s="6" t="n"/>
      <c r="B80" s="6" t="n"/>
      <c r="C80" s="6" t="n"/>
      <c r="D80" s="6" t="n"/>
      <c r="E80" s="6" t="inlineStr"/>
      <c r="F80" s="6" t="inlineStr"/>
      <c r="G80" s="6" t="inlineStr"/>
      <c r="H80" s="6" t="inlineStr"/>
      <c r="I80" s="6" t="n"/>
      <c r="J80" s="6" t="n"/>
    </row>
    <row r="81">
      <c r="A81" s="6" t="n"/>
      <c r="B81" s="6" t="n"/>
      <c r="C81" s="6" t="n"/>
      <c r="D81" s="6" t="n"/>
      <c r="E81" s="6" t="inlineStr"/>
      <c r="F81" s="6" t="inlineStr"/>
      <c r="G81" s="6" t="inlineStr"/>
      <c r="H81" s="6" t="inlineStr"/>
      <c r="I81" s="6" t="n"/>
      <c r="J81" s="6" t="n"/>
    </row>
    <row r="82">
      <c r="A82" s="6" t="n"/>
      <c r="B82" s="6" t="n"/>
      <c r="C82" s="6" t="n"/>
      <c r="D82" s="6" t="n"/>
      <c r="E82" s="6" t="inlineStr"/>
      <c r="F82" s="6" t="inlineStr"/>
      <c r="G82" s="6" t="inlineStr"/>
      <c r="H82" s="6" t="inlineStr"/>
      <c r="I82" s="6" t="n"/>
      <c r="J82" s="6" t="n"/>
    </row>
    <row r="83">
      <c r="A83" s="6" t="n"/>
      <c r="B83" s="6" t="n"/>
      <c r="C83" s="6" t="n"/>
      <c r="D83" s="6" t="n"/>
      <c r="E83" s="6" t="inlineStr"/>
      <c r="F83" s="6" t="inlineStr"/>
      <c r="G83" s="6" t="inlineStr"/>
      <c r="H83" s="6" t="inlineStr"/>
      <c r="I83" s="6" t="n"/>
      <c r="J83" s="6" t="n"/>
    </row>
    <row r="84">
      <c r="A84" s="6" t="n"/>
      <c r="B84" s="6" t="n"/>
      <c r="C84" s="6" t="n"/>
      <c r="D84" s="6" t="n"/>
      <c r="E84" s="6" t="inlineStr"/>
      <c r="F84" s="6" t="inlineStr"/>
      <c r="G84" s="6" t="inlineStr"/>
      <c r="H84" s="6" t="inlineStr"/>
      <c r="I84" s="6" t="n"/>
      <c r="J84" s="6" t="n"/>
    </row>
    <row r="85">
      <c r="A85" s="6" t="n"/>
      <c r="B85" s="6" t="n"/>
      <c r="C85" s="6" t="n"/>
      <c r="D85" s="6" t="n"/>
      <c r="E85" s="6" t="inlineStr"/>
      <c r="F85" s="6" t="inlineStr"/>
      <c r="G85" s="6" t="inlineStr"/>
      <c r="H85" s="6" t="inlineStr"/>
      <c r="I85" s="6" t="n"/>
      <c r="J85" s="6" t="n"/>
    </row>
    <row r="86">
      <c r="A86" s="6" t="n"/>
      <c r="B86" s="6" t="n"/>
      <c r="C86" s="6" t="n"/>
      <c r="D86" s="6" t="n"/>
      <c r="E86" s="6" t="inlineStr"/>
      <c r="F86" s="6" t="inlineStr"/>
      <c r="G86" s="6" t="inlineStr"/>
      <c r="H86" s="6" t="inlineStr"/>
      <c r="I86" s="6" t="n"/>
      <c r="J86" s="6" t="n"/>
    </row>
    <row r="87">
      <c r="A87" s="6" t="n"/>
      <c r="B87" s="6" t="n"/>
      <c r="C87" s="6" t="n"/>
      <c r="D87" s="6" t="n"/>
      <c r="E87" s="6" t="inlineStr"/>
      <c r="F87" s="6" t="inlineStr"/>
      <c r="G87" s="6" t="inlineStr"/>
      <c r="H87" s="6" t="inlineStr"/>
      <c r="I87" s="6" t="n"/>
      <c r="J87" s="6" t="n"/>
    </row>
    <row r="88">
      <c r="A88" s="6" t="n"/>
      <c r="B88" s="6" t="n"/>
      <c r="C88" s="6" t="n"/>
      <c r="D88" s="6" t="n"/>
      <c r="E88" s="6" t="inlineStr"/>
      <c r="F88" s="6" t="inlineStr"/>
      <c r="G88" s="6" t="inlineStr"/>
      <c r="H88" s="6" t="inlineStr"/>
      <c r="I88" s="6" t="n"/>
      <c r="J88" s="6" t="n"/>
    </row>
    <row r="89">
      <c r="A89" s="6" t="n"/>
      <c r="B89" s="6" t="n"/>
      <c r="C89" s="6" t="n"/>
      <c r="D89" s="6" t="n"/>
      <c r="E89" s="6" t="inlineStr"/>
      <c r="F89" s="6" t="inlineStr"/>
      <c r="G89" s="6" t="inlineStr"/>
      <c r="H89" s="6" t="inlineStr"/>
      <c r="I89" s="6" t="n"/>
      <c r="J89" s="6" t="n"/>
    </row>
    <row r="90">
      <c r="A90" s="6" t="n"/>
      <c r="B90" s="6" t="n"/>
      <c r="C90" s="6" t="n"/>
      <c r="D90" s="6" t="n"/>
      <c r="E90" s="6" t="inlineStr"/>
      <c r="F90" s="6" t="inlineStr"/>
      <c r="G90" s="6" t="inlineStr"/>
      <c r="H90" s="6" t="inlineStr"/>
      <c r="I90" s="6" t="n"/>
      <c r="J90" s="6" t="n"/>
    </row>
    <row r="91">
      <c r="A91" s="6" t="n"/>
      <c r="B91" s="6" t="n"/>
      <c r="C91" s="6" t="n"/>
      <c r="D91" s="6" t="n"/>
      <c r="E91" s="6" t="inlineStr"/>
      <c r="F91" s="6" t="inlineStr"/>
      <c r="G91" s="6" t="inlineStr"/>
      <c r="H91" s="6" t="inlineStr"/>
      <c r="I91" s="6" t="n"/>
      <c r="J91" s="6" t="n"/>
    </row>
    <row r="92">
      <c r="A92" s="6" t="n"/>
      <c r="B92" s="6" t="n"/>
      <c r="C92" s="6" t="n"/>
      <c r="D92" s="6" t="n"/>
      <c r="E92" s="6" t="inlineStr"/>
      <c r="F92" s="6" t="inlineStr"/>
      <c r="G92" s="6" t="inlineStr"/>
      <c r="H92" s="6" t="inlineStr"/>
      <c r="I92" s="6" t="n"/>
      <c r="J92" s="6" t="n"/>
    </row>
    <row r="93">
      <c r="A93" s="6" t="n"/>
      <c r="B93" s="6" t="n"/>
      <c r="C93" s="6" t="n"/>
      <c r="D93" s="6" t="n"/>
      <c r="E93" s="6" t="inlineStr"/>
      <c r="F93" s="6" t="inlineStr"/>
      <c r="G93" s="6" t="inlineStr"/>
      <c r="H93" s="6" t="inlineStr"/>
      <c r="I93" s="6" t="n"/>
      <c r="J93" s="6" t="n"/>
    </row>
    <row r="94">
      <c r="A94" s="6" t="n"/>
      <c r="B94" s="6" t="n"/>
      <c r="C94" s="6" t="n"/>
      <c r="D94" s="6" t="n"/>
      <c r="E94" s="6" t="inlineStr"/>
      <c r="F94" s="6" t="inlineStr"/>
      <c r="G94" s="6" t="inlineStr"/>
      <c r="H94" s="6" t="inlineStr"/>
      <c r="I94" s="6" t="n"/>
      <c r="J94" s="6" t="n"/>
    </row>
    <row r="95">
      <c r="A95" s="6" t="n"/>
      <c r="B95" s="6" t="n"/>
      <c r="C95" s="6" t="n"/>
      <c r="D95" s="6" t="n"/>
      <c r="E95" s="6" t="inlineStr"/>
      <c r="F95" s="6" t="inlineStr"/>
      <c r="G95" s="6" t="inlineStr"/>
      <c r="H95" s="6" t="inlineStr"/>
      <c r="I95" s="6" t="n"/>
      <c r="J95" s="6" t="n"/>
    </row>
    <row r="96">
      <c r="A96" s="6" t="n"/>
      <c r="B96" s="6" t="n"/>
      <c r="C96" s="6" t="n"/>
      <c r="D96" s="6" t="n"/>
      <c r="E96" s="6" t="inlineStr"/>
      <c r="F96" s="6" t="inlineStr"/>
      <c r="G96" s="6" t="inlineStr"/>
      <c r="H96" s="6" t="inlineStr"/>
      <c r="I96" s="6" t="n"/>
      <c r="J96" s="6" t="n"/>
    </row>
    <row r="97">
      <c r="A97" s="6" t="n"/>
      <c r="B97" s="6" t="n"/>
      <c r="C97" s="6" t="n"/>
      <c r="D97" s="6" t="n"/>
      <c r="E97" s="6" t="inlineStr"/>
      <c r="F97" s="6" t="inlineStr"/>
      <c r="G97" s="6" t="inlineStr"/>
      <c r="H97" s="6" t="inlineStr"/>
      <c r="I97" s="6" t="n"/>
      <c r="J97" s="6" t="n"/>
    </row>
    <row r="98">
      <c r="A98" s="6" t="n"/>
      <c r="B98" s="6" t="n"/>
      <c r="C98" s="6" t="n"/>
      <c r="D98" s="6" t="n"/>
      <c r="E98" s="6" t="inlineStr"/>
      <c r="F98" s="6" t="inlineStr"/>
      <c r="G98" s="6" t="inlineStr"/>
      <c r="H98" s="6" t="inlineStr"/>
      <c r="I98" s="6" t="n"/>
      <c r="J98" s="6" t="n"/>
    </row>
    <row r="99">
      <c r="A99" s="6" t="n"/>
      <c r="B99" s="6" t="n"/>
      <c r="C99" s="6" t="n"/>
      <c r="D99" s="6" t="n"/>
      <c r="E99" s="6" t="inlineStr"/>
      <c r="F99" s="6" t="inlineStr"/>
      <c r="G99" s="6" t="inlineStr"/>
      <c r="H99" s="6" t="inlineStr"/>
      <c r="I99" s="6" t="n"/>
      <c r="J99" s="6" t="n"/>
    </row>
    <row r="100">
      <c r="A100" s="6" t="n"/>
      <c r="B100" s="6" t="n"/>
      <c r="C100" s="6" t="n"/>
      <c r="D100" s="6" t="n"/>
      <c r="E100" s="6" t="inlineStr"/>
      <c r="F100" s="6" t="inlineStr"/>
      <c r="G100" s="6" t="inlineStr"/>
      <c r="H100" s="6" t="inlineStr"/>
      <c r="I100" s="6" t="n"/>
      <c r="J100" s="6" t="n"/>
    </row>
    <row r="101">
      <c r="A101" s="6" t="n"/>
      <c r="B101" s="6" t="n"/>
      <c r="C101" s="6" t="n"/>
      <c r="D101" s="6" t="n"/>
      <c r="E101" s="6" t="inlineStr"/>
      <c r="F101" s="6" t="inlineStr"/>
      <c r="G101" s="6" t="inlineStr"/>
      <c r="H101" s="6" t="inlineStr"/>
      <c r="I101" s="6" t="n"/>
      <c r="J101" s="6" t="n"/>
    </row>
    <row r="102">
      <c r="A102" s="6" t="n"/>
      <c r="B102" s="6" t="n"/>
      <c r="C102" s="6" t="n"/>
      <c r="D102" s="6" t="n"/>
      <c r="E102" s="6" t="inlineStr"/>
      <c r="F102" s="6" t="inlineStr"/>
      <c r="G102" s="6" t="inlineStr"/>
      <c r="H102" s="6" t="inlineStr"/>
      <c r="I102" s="6" t="n"/>
      <c r="J102" s="6" t="n"/>
    </row>
    <row r="103">
      <c r="A103" s="6" t="n"/>
      <c r="B103" s="6" t="n"/>
      <c r="C103" s="6" t="n"/>
      <c r="D103" s="6" t="n"/>
      <c r="E103" s="6" t="inlineStr"/>
      <c r="F103" s="6" t="inlineStr"/>
      <c r="G103" s="6" t="inlineStr"/>
      <c r="H103" s="6" t="inlineStr"/>
      <c r="I103" s="6" t="n"/>
      <c r="J103" s="6" t="n"/>
    </row>
    <row r="104">
      <c r="A104" s="6" t="n"/>
      <c r="B104" s="6" t="n"/>
      <c r="C104" s="6" t="n"/>
      <c r="D104" s="6" t="n"/>
      <c r="E104" s="6" t="inlineStr"/>
      <c r="F104" s="6" t="inlineStr"/>
      <c r="G104" s="6" t="inlineStr"/>
      <c r="H104" s="6" t="inlineStr"/>
      <c r="I104" s="6" t="n"/>
      <c r="J104" s="6" t="n"/>
    </row>
    <row r="105">
      <c r="A105" s="6" t="n"/>
      <c r="B105" s="6" t="n"/>
      <c r="C105" s="6" t="n"/>
      <c r="D105" s="6" t="n"/>
      <c r="E105" s="6" t="inlineStr"/>
      <c r="F105" s="6" t="inlineStr"/>
      <c r="G105" s="6" t="inlineStr"/>
      <c r="H105" s="6" t="inlineStr"/>
      <c r="I105" s="6" t="n"/>
      <c r="J105" s="6" t="n"/>
    </row>
    <row r="106">
      <c r="A106" s="6" t="n"/>
      <c r="B106" s="6" t="n"/>
      <c r="C106" s="6" t="n"/>
      <c r="D106" s="6" t="n"/>
      <c r="E106" s="6" t="inlineStr"/>
      <c r="F106" s="6" t="inlineStr"/>
      <c r="G106" s="6" t="inlineStr"/>
      <c r="H106" s="6" t="inlineStr"/>
      <c r="I106" s="6" t="n"/>
      <c r="J106" s="6" t="n"/>
    </row>
    <row r="107">
      <c r="A107" s="6" t="n"/>
      <c r="B107" s="6" t="n"/>
      <c r="C107" s="6" t="n"/>
      <c r="D107" s="6" t="n"/>
      <c r="E107" s="6" t="inlineStr"/>
      <c r="F107" s="6" t="inlineStr"/>
      <c r="G107" s="6" t="inlineStr"/>
      <c r="H107" s="6" t="inlineStr"/>
      <c r="I107" s="6" t="n"/>
      <c r="J107" s="6" t="n"/>
    </row>
    <row r="108">
      <c r="A108" s="6" t="n"/>
      <c r="B108" s="6" t="n"/>
      <c r="C108" s="6" t="n"/>
      <c r="D108" s="6" t="n"/>
      <c r="E108" s="6" t="inlineStr"/>
      <c r="F108" s="6" t="inlineStr"/>
      <c r="G108" s="6" t="inlineStr"/>
      <c r="H108" s="6" t="inlineStr"/>
      <c r="I108" s="6" t="n"/>
      <c r="J108" s="6" t="n"/>
    </row>
    <row r="109">
      <c r="A109" s="6" t="n"/>
      <c r="B109" s="6" t="n"/>
      <c r="C109" s="6" t="n"/>
      <c r="D109" s="6" t="n"/>
      <c r="E109" s="6" t="inlineStr"/>
      <c r="F109" s="6" t="inlineStr"/>
      <c r="G109" s="6" t="inlineStr"/>
      <c r="H109" s="6" t="inlineStr"/>
      <c r="I109" s="6" t="n"/>
      <c r="J109" s="6" t="n"/>
    </row>
    <row r="110">
      <c r="A110" s="6" t="n"/>
      <c r="B110" s="6" t="n"/>
      <c r="C110" s="6" t="n"/>
      <c r="D110" s="6" t="n"/>
      <c r="E110" s="6" t="inlineStr"/>
      <c r="F110" s="6" t="inlineStr"/>
      <c r="G110" s="6" t="inlineStr"/>
      <c r="H110" s="6" t="inlineStr"/>
      <c r="I110" s="6" t="n"/>
      <c r="J110" s="6" t="n"/>
    </row>
    <row r="111">
      <c r="A111" s="6" t="n"/>
      <c r="B111" s="6" t="n"/>
      <c r="C111" s="6" t="n"/>
      <c r="D111" s="6" t="n"/>
      <c r="E111" s="6" t="inlineStr"/>
      <c r="F111" s="6" t="inlineStr"/>
      <c r="G111" s="6" t="inlineStr"/>
      <c r="H111" s="6" t="inlineStr"/>
      <c r="I111" s="6" t="n"/>
      <c r="J111" s="6" t="n"/>
    </row>
    <row r="112">
      <c r="A112" s="6" t="n"/>
      <c r="B112" s="6" t="n"/>
      <c r="C112" s="6" t="n"/>
      <c r="D112" s="6" t="n"/>
      <c r="E112" s="6" t="inlineStr"/>
      <c r="F112" s="6" t="inlineStr"/>
      <c r="G112" s="6" t="inlineStr"/>
      <c r="H112" s="6" t="inlineStr"/>
      <c r="I112" s="6" t="n"/>
      <c r="J112" s="6" t="n"/>
    </row>
    <row r="113">
      <c r="A113" s="6" t="n"/>
      <c r="B113" s="6" t="n"/>
      <c r="C113" s="6" t="n"/>
      <c r="D113" s="6" t="n"/>
      <c r="E113" s="6" t="inlineStr"/>
      <c r="F113" s="6" t="inlineStr"/>
      <c r="G113" s="6" t="inlineStr"/>
      <c r="H113" s="6" t="inlineStr"/>
      <c r="I113" s="6" t="n"/>
      <c r="J113" s="6" t="n"/>
    </row>
    <row r="114">
      <c r="A114" s="6" t="n"/>
      <c r="B114" s="6" t="n"/>
      <c r="C114" s="6" t="n"/>
      <c r="D114" s="6" t="n"/>
      <c r="E114" s="6" t="inlineStr"/>
      <c r="F114" s="6" t="inlineStr"/>
      <c r="G114" s="6" t="inlineStr"/>
      <c r="H114" s="6" t="inlineStr"/>
      <c r="I114" s="6" t="n"/>
      <c r="J114" s="6" t="n"/>
    </row>
    <row r="115">
      <c r="A115" s="6" t="n"/>
      <c r="B115" s="6" t="n"/>
      <c r="C115" s="6" t="n"/>
      <c r="D115" s="6" t="n"/>
      <c r="E115" s="6" t="inlineStr"/>
      <c r="F115" s="6" t="inlineStr"/>
      <c r="G115" s="6" t="inlineStr"/>
      <c r="H115" s="6" t="inlineStr"/>
      <c r="I115" s="6" t="n"/>
      <c r="J115" s="6" t="n"/>
    </row>
    <row r="116">
      <c r="A116" s="6" t="n"/>
      <c r="B116" s="6" t="n"/>
      <c r="C116" s="6" t="n"/>
      <c r="D116" s="6" t="n"/>
      <c r="E116" s="6" t="inlineStr"/>
      <c r="F116" s="6" t="inlineStr"/>
      <c r="G116" s="6" t="inlineStr"/>
      <c r="H116" s="6" t="inlineStr"/>
      <c r="I116" s="6" t="n"/>
      <c r="J116" s="6" t="n"/>
    </row>
    <row r="117">
      <c r="A117" s="6" t="n"/>
      <c r="B117" s="6" t="n"/>
      <c r="C117" s="6" t="n"/>
      <c r="D117" s="6" t="n"/>
      <c r="E117" s="6" t="inlineStr"/>
      <c r="F117" s="6" t="inlineStr"/>
      <c r="G117" s="6" t="inlineStr"/>
      <c r="H117" s="6" t="inlineStr"/>
      <c r="I117" s="6" t="n"/>
      <c r="J117" s="6" t="n"/>
    </row>
    <row r="118">
      <c r="A118" s="6" t="n"/>
      <c r="B118" s="6" t="n"/>
      <c r="C118" s="6" t="n"/>
      <c r="D118" s="6" t="n"/>
      <c r="E118" s="6" t="inlineStr"/>
      <c r="F118" s="6" t="inlineStr"/>
      <c r="G118" s="6" t="inlineStr"/>
      <c r="H118" s="6" t="inlineStr"/>
      <c r="I118" s="6" t="n"/>
      <c r="J118" s="6" t="n"/>
    </row>
    <row r="119">
      <c r="A119" s="6" t="n"/>
      <c r="B119" s="6" t="n"/>
      <c r="C119" s="6" t="n"/>
      <c r="D119" s="6" t="n"/>
      <c r="E119" s="6" t="inlineStr"/>
      <c r="F119" s="6" t="inlineStr"/>
      <c r="G119" s="6" t="inlineStr"/>
      <c r="H119" s="6" t="inlineStr"/>
      <c r="I119" s="6" t="n"/>
      <c r="J119" s="6" t="n"/>
    </row>
    <row r="120">
      <c r="A120" s="6" t="n"/>
      <c r="B120" s="6" t="n"/>
      <c r="C120" s="6" t="n"/>
      <c r="D120" s="6" t="n"/>
      <c r="E120" s="6" t="inlineStr"/>
      <c r="F120" s="6" t="inlineStr"/>
      <c r="G120" s="6" t="inlineStr"/>
      <c r="H120" s="6" t="inlineStr"/>
      <c r="I120" s="6" t="n"/>
      <c r="J120" s="6" t="n"/>
    </row>
    <row r="121">
      <c r="A121" s="6" t="n"/>
      <c r="B121" s="6" t="n"/>
      <c r="C121" s="6" t="n"/>
      <c r="D121" s="6" t="n"/>
      <c r="E121" s="6" t="inlineStr"/>
      <c r="F121" s="6" t="inlineStr"/>
      <c r="G121" s="6" t="inlineStr"/>
      <c r="H121" s="6" t="inlineStr"/>
      <c r="I121" s="6" t="n"/>
      <c r="J121" s="6" t="n"/>
    </row>
    <row r="122">
      <c r="A122" s="6" t="n"/>
      <c r="B122" s="6" t="n"/>
      <c r="C122" s="6" t="n"/>
      <c r="D122" s="6" t="n"/>
      <c r="E122" s="6" t="inlineStr"/>
      <c r="F122" s="6" t="inlineStr"/>
      <c r="G122" s="6" t="inlineStr"/>
      <c r="H122" s="6" t="inlineStr"/>
      <c r="I122" s="6" t="n"/>
      <c r="J122" s="6" t="n"/>
    </row>
    <row r="123">
      <c r="A123" s="6" t="n"/>
      <c r="B123" s="6" t="n"/>
      <c r="C123" s="6" t="n"/>
      <c r="D123" s="6" t="n"/>
      <c r="E123" s="6" t="inlineStr"/>
      <c r="F123" s="6" t="inlineStr"/>
      <c r="G123" s="6" t="inlineStr"/>
      <c r="H123" s="6" t="inlineStr"/>
      <c r="I123" s="6" t="n"/>
      <c r="J123" s="6" t="n"/>
    </row>
    <row r="124">
      <c r="A124" s="6" t="n"/>
      <c r="B124" s="6" t="n"/>
      <c r="C124" s="6" t="n"/>
      <c r="D124" s="6" t="n"/>
      <c r="E124" s="6" t="inlineStr"/>
      <c r="F124" s="6" t="inlineStr"/>
      <c r="G124" s="6" t="inlineStr"/>
      <c r="H124" s="6" t="inlineStr"/>
      <c r="I124" s="6" t="n"/>
      <c r="J124" s="6" t="n"/>
    </row>
    <row r="125">
      <c r="A125" s="6" t="n"/>
      <c r="B125" s="6" t="n"/>
      <c r="C125" s="6" t="n"/>
      <c r="D125" s="6" t="n"/>
      <c r="E125" s="6" t="inlineStr"/>
      <c r="F125" s="6" t="inlineStr"/>
      <c r="G125" s="6" t="inlineStr"/>
      <c r="H125" s="6" t="inlineStr"/>
      <c r="I125" s="6" t="n"/>
      <c r="J125" s="6" t="n"/>
    </row>
    <row r="126">
      <c r="A126" s="6" t="n"/>
      <c r="B126" s="6" t="n"/>
      <c r="C126" s="6" t="n"/>
      <c r="D126" s="6" t="n"/>
      <c r="E126" s="6" t="inlineStr"/>
      <c r="F126" s="6" t="inlineStr"/>
      <c r="G126" s="6" t="inlineStr"/>
      <c r="H126" s="6" t="inlineStr"/>
      <c r="I126" s="6" t="n"/>
      <c r="J126" s="6" t="n"/>
    </row>
    <row r="127">
      <c r="A127" s="6" t="n"/>
      <c r="B127" s="6" t="n"/>
      <c r="C127" s="6" t="n"/>
      <c r="D127" s="6" t="n"/>
      <c r="E127" s="6" t="inlineStr"/>
      <c r="F127" s="6" t="inlineStr"/>
      <c r="G127" s="6" t="inlineStr"/>
      <c r="H127" s="6" t="inlineStr"/>
      <c r="I127" s="6" t="n"/>
      <c r="J127" s="6" t="n"/>
    </row>
    <row r="128">
      <c r="A128" s="6" t="n"/>
      <c r="B128" s="6" t="n"/>
      <c r="C128" s="6" t="n"/>
      <c r="D128" s="6" t="n"/>
      <c r="E128" s="6" t="inlineStr"/>
      <c r="F128" s="6" t="inlineStr"/>
      <c r="G128" s="6" t="inlineStr"/>
      <c r="H128" s="6" t="inlineStr"/>
      <c r="I128" s="6" t="n"/>
      <c r="J128" s="6" t="n"/>
    </row>
    <row r="129">
      <c r="A129" s="6" t="n"/>
      <c r="B129" s="6" t="n"/>
      <c r="C129" s="6" t="n"/>
      <c r="D129" s="6" t="n"/>
      <c r="E129" s="6" t="inlineStr"/>
      <c r="F129" s="6" t="inlineStr"/>
      <c r="G129" s="6" t="inlineStr"/>
      <c r="H129" s="6" t="inlineStr"/>
      <c r="I129" s="6" t="n"/>
      <c r="J129" s="6" t="n"/>
    </row>
    <row r="130">
      <c r="A130" s="6" t="n"/>
      <c r="B130" s="6" t="n"/>
      <c r="C130" s="6" t="n"/>
      <c r="D130" s="6" t="n"/>
      <c r="E130" s="6" t="inlineStr"/>
      <c r="F130" s="6" t="inlineStr"/>
      <c r="G130" s="6" t="inlineStr"/>
      <c r="H130" s="6" t="inlineStr"/>
      <c r="I130" s="6" t="n"/>
      <c r="J130" s="6" t="n"/>
    </row>
    <row r="131">
      <c r="A131" s="6" t="n"/>
      <c r="B131" s="6" t="n"/>
      <c r="C131" s="6" t="n"/>
      <c r="D131" s="6" t="n"/>
      <c r="E131" s="6" t="inlineStr"/>
      <c r="F131" s="6" t="inlineStr"/>
      <c r="G131" s="6" t="inlineStr"/>
      <c r="H131" s="6" t="inlineStr"/>
      <c r="I131" s="6" t="n"/>
      <c r="J131" s="6" t="n"/>
    </row>
    <row r="132">
      <c r="A132" s="6" t="n"/>
      <c r="B132" s="6" t="n"/>
      <c r="C132" s="6" t="n"/>
      <c r="D132" s="6" t="n"/>
      <c r="E132" s="6" t="inlineStr"/>
      <c r="F132" s="6" t="inlineStr"/>
      <c r="G132" s="6" t="inlineStr"/>
      <c r="H132" s="6" t="inlineStr"/>
      <c r="I132" s="6" t="n"/>
      <c r="J132" s="6" t="n"/>
    </row>
    <row r="133">
      <c r="A133" s="6" t="n"/>
      <c r="B133" s="6" t="n"/>
      <c r="C133" s="6" t="n"/>
      <c r="D133" s="6" t="n"/>
      <c r="E133" s="6" t="inlineStr"/>
      <c r="F133" s="6" t="inlineStr"/>
      <c r="G133" s="6" t="inlineStr"/>
      <c r="H133" s="6" t="inlineStr"/>
      <c r="I133" s="6" t="n"/>
      <c r="J133" s="6" t="n"/>
    </row>
    <row r="134">
      <c r="A134" s="6" t="n"/>
      <c r="B134" s="6" t="n"/>
      <c r="C134" s="6" t="n"/>
      <c r="D134" s="6" t="n"/>
      <c r="E134" s="6" t="inlineStr"/>
      <c r="F134" s="6" t="inlineStr"/>
      <c r="G134" s="6" t="inlineStr"/>
      <c r="H134" s="6" t="inlineStr"/>
      <c r="I134" s="6" t="n"/>
      <c r="J134" s="6" t="n"/>
    </row>
    <row r="135">
      <c r="A135" s="6" t="n"/>
      <c r="B135" s="6" t="n"/>
      <c r="C135" s="6" t="n"/>
      <c r="D135" s="6" t="n"/>
      <c r="E135" s="6" t="inlineStr"/>
      <c r="F135" s="6" t="inlineStr"/>
      <c r="G135" s="6" t="inlineStr"/>
      <c r="H135" s="6" t="inlineStr"/>
      <c r="I135" s="6" t="n"/>
      <c r="J135" s="6" t="n"/>
    </row>
    <row r="136">
      <c r="A136" s="6" t="n"/>
      <c r="B136" s="6" t="n"/>
      <c r="C136" s="6" t="n"/>
      <c r="D136" s="6" t="n"/>
      <c r="E136" s="6" t="inlineStr"/>
      <c r="F136" s="6" t="inlineStr"/>
      <c r="G136" s="6" t="inlineStr"/>
      <c r="H136" s="6" t="inlineStr"/>
      <c r="I136" s="6" t="n"/>
      <c r="J136" s="6" t="n"/>
    </row>
    <row r="137">
      <c r="A137" s="6" t="n"/>
      <c r="B137" s="6" t="n"/>
      <c r="C137" s="6" t="n"/>
      <c r="D137" s="6" t="n"/>
      <c r="E137" s="6" t="inlineStr"/>
      <c r="F137" s="6" t="inlineStr"/>
      <c r="G137" s="6" t="inlineStr"/>
      <c r="H137" s="6" t="inlineStr"/>
      <c r="I137" s="6" t="n"/>
      <c r="J137" s="6" t="n"/>
    </row>
    <row r="138">
      <c r="A138" s="6" t="n"/>
      <c r="B138" s="6" t="n"/>
      <c r="C138" s="6" t="n"/>
      <c r="D138" s="6" t="n"/>
      <c r="E138" s="6" t="inlineStr"/>
      <c r="F138" s="6" t="inlineStr"/>
      <c r="G138" s="6" t="inlineStr"/>
      <c r="H138" s="6" t="inlineStr"/>
      <c r="I138" s="6" t="n"/>
      <c r="J138" s="6" t="n"/>
    </row>
    <row r="139">
      <c r="A139" s="6" t="n"/>
      <c r="B139" s="6" t="n"/>
      <c r="C139" s="6" t="n"/>
      <c r="D139" s="6" t="n"/>
      <c r="E139" s="6" t="inlineStr"/>
      <c r="F139" s="6" t="inlineStr"/>
      <c r="G139" s="6" t="inlineStr"/>
      <c r="H139" s="6" t="inlineStr"/>
      <c r="I139" s="6" t="n"/>
      <c r="J139" s="6" t="n"/>
    </row>
    <row r="140">
      <c r="A140" s="6" t="n"/>
      <c r="B140" s="6" t="n"/>
      <c r="C140" s="6" t="n"/>
      <c r="D140" s="6" t="n"/>
      <c r="E140" s="6" t="inlineStr"/>
      <c r="F140" s="6" t="inlineStr"/>
      <c r="G140" s="6" t="inlineStr"/>
      <c r="H140" s="6" t="inlineStr"/>
      <c r="I140" s="6" t="n"/>
      <c r="J140" s="6" t="n"/>
    </row>
    <row r="141">
      <c r="A141" s="6" t="n"/>
      <c r="B141" s="6" t="n"/>
      <c r="C141" s="6" t="n"/>
      <c r="D141" s="6" t="n"/>
      <c r="E141" s="6" t="inlineStr"/>
      <c r="F141" s="6" t="inlineStr"/>
      <c r="G141" s="6" t="inlineStr"/>
      <c r="H141" s="6" t="inlineStr"/>
      <c r="I141" s="6" t="n"/>
      <c r="J141" s="6" t="n"/>
    </row>
    <row r="142">
      <c r="A142" s="6" t="n"/>
      <c r="B142" s="6" t="n"/>
      <c r="C142" s="6" t="n"/>
      <c r="D142" s="6" t="n"/>
      <c r="E142" s="6" t="inlineStr"/>
      <c r="F142" s="6" t="inlineStr"/>
      <c r="G142" s="6" t="inlineStr"/>
      <c r="H142" s="6" t="inlineStr"/>
      <c r="I142" s="6" t="n"/>
      <c r="J142" s="6" t="n"/>
    </row>
    <row r="143">
      <c r="A143" s="6" t="n"/>
      <c r="B143" s="6" t="n"/>
      <c r="C143" s="6" t="n"/>
      <c r="D143" s="6" t="n"/>
      <c r="E143" s="6" t="inlineStr"/>
      <c r="F143" s="6" t="inlineStr"/>
      <c r="G143" s="6" t="inlineStr"/>
      <c r="H143" s="6" t="inlineStr"/>
      <c r="I143" s="6" t="n"/>
      <c r="J143" s="6" t="n"/>
    </row>
    <row r="144">
      <c r="A144" s="6" t="n"/>
      <c r="B144" s="6" t="n"/>
      <c r="C144" s="6" t="n"/>
      <c r="D144" s="6" t="n"/>
      <c r="E144" s="6" t="inlineStr"/>
      <c r="F144" s="6" t="inlineStr"/>
      <c r="G144" s="6" t="inlineStr"/>
      <c r="H144" s="6" t="inlineStr"/>
      <c r="I144" s="6" t="n"/>
      <c r="J144" s="6" t="n"/>
    </row>
    <row r="145">
      <c r="A145" s="6" t="n"/>
      <c r="B145" s="6" t="n"/>
      <c r="C145" s="6" t="n"/>
      <c r="D145" s="6" t="n"/>
      <c r="E145" s="6" t="inlineStr"/>
      <c r="F145" s="6" t="inlineStr"/>
      <c r="G145" s="6" t="inlineStr"/>
      <c r="H145" s="6" t="inlineStr"/>
      <c r="I145" s="6" t="n"/>
      <c r="J145" s="6" t="n"/>
    </row>
    <row r="146">
      <c r="A146" s="6" t="n"/>
      <c r="B146" s="6" t="n"/>
      <c r="C146" s="6" t="n"/>
      <c r="D146" s="6" t="n"/>
      <c r="E146" s="6" t="inlineStr"/>
      <c r="F146" s="6" t="inlineStr"/>
      <c r="G146" s="6" t="inlineStr"/>
      <c r="H146" s="6" t="inlineStr"/>
      <c r="I146" s="6" t="n"/>
      <c r="J146" s="6" t="n"/>
    </row>
    <row r="147">
      <c r="A147" s="6" t="n"/>
      <c r="B147" s="6" t="n"/>
      <c r="C147" s="6" t="n"/>
      <c r="D147" s="6" t="n"/>
      <c r="E147" s="6" t="inlineStr"/>
      <c r="F147" s="6" t="inlineStr"/>
      <c r="G147" s="6" t="inlineStr"/>
      <c r="H147" s="6" t="inlineStr"/>
      <c r="I147" s="6" t="n"/>
      <c r="J147" s="6" t="n"/>
    </row>
    <row r="148">
      <c r="A148" s="6" t="n"/>
      <c r="B148" s="6" t="n"/>
      <c r="C148" s="6" t="n"/>
      <c r="D148" s="6" t="n"/>
      <c r="E148" s="6" t="inlineStr"/>
      <c r="F148" s="6" t="inlineStr"/>
      <c r="G148" s="6" t="inlineStr"/>
      <c r="H148" s="6" t="inlineStr"/>
      <c r="I148" s="6" t="n"/>
      <c r="J148" s="6" t="n"/>
    </row>
    <row r="149">
      <c r="A149" s="6" t="n"/>
      <c r="B149" s="6" t="n"/>
      <c r="C149" s="6" t="n"/>
      <c r="D149" s="6" t="n"/>
      <c r="E149" s="6" t="inlineStr"/>
      <c r="F149" s="6" t="inlineStr"/>
      <c r="G149" s="6" t="inlineStr"/>
      <c r="H149" s="6" t="inlineStr"/>
      <c r="I149" s="6" t="n"/>
      <c r="J149" s="6" t="n"/>
    </row>
    <row r="150">
      <c r="A150" s="6" t="n"/>
      <c r="B150" s="6" t="n"/>
      <c r="C150" s="6" t="n"/>
      <c r="D150" s="6" t="n"/>
      <c r="E150" s="6" t="inlineStr"/>
      <c r="F150" s="6" t="inlineStr"/>
      <c r="G150" s="6" t="inlineStr"/>
      <c r="H150" s="6" t="inlineStr"/>
      <c r="I150" s="6" t="n"/>
      <c r="J150" s="6" t="n"/>
    </row>
    <row r="151">
      <c r="A151" s="6" t="n"/>
      <c r="B151" s="6" t="n"/>
      <c r="C151" s="6" t="n"/>
      <c r="D151" s="6" t="n"/>
      <c r="E151" s="6" t="inlineStr"/>
      <c r="F151" s="6" t="inlineStr"/>
      <c r="G151" s="6" t="inlineStr"/>
      <c r="H151" s="6" t="inlineStr"/>
      <c r="I151" s="6" t="n"/>
      <c r="J151" s="6" t="n"/>
    </row>
    <row r="152">
      <c r="A152" s="6" t="n"/>
      <c r="B152" s="6" t="n"/>
      <c r="C152" s="6" t="n"/>
      <c r="D152" s="6" t="n"/>
      <c r="E152" s="6" t="inlineStr"/>
      <c r="F152" s="6" t="inlineStr"/>
      <c r="G152" s="6" t="inlineStr"/>
      <c r="H152" s="6" t="inlineStr"/>
      <c r="I152" s="6" t="n"/>
      <c r="J152" s="6" t="n"/>
    </row>
    <row r="153">
      <c r="A153" s="6" t="n"/>
      <c r="B153" s="6" t="n"/>
      <c r="C153" s="6" t="n"/>
      <c r="D153" s="6" t="n"/>
      <c r="E153" s="6" t="inlineStr"/>
      <c r="F153" s="6" t="inlineStr"/>
      <c r="G153" s="6" t="inlineStr"/>
      <c r="H153" s="6" t="inlineStr"/>
      <c r="I153" s="6" t="n"/>
      <c r="J153" s="6" t="n"/>
    </row>
    <row r="154">
      <c r="A154" s="6" t="n"/>
      <c r="B154" s="6" t="n"/>
      <c r="C154" s="6" t="n"/>
      <c r="D154" s="6" t="n"/>
      <c r="E154" s="6" t="inlineStr"/>
      <c r="F154" s="6" t="inlineStr"/>
      <c r="G154" s="6" t="inlineStr"/>
      <c r="H154" s="6" t="inlineStr"/>
      <c r="I154" s="6" t="n"/>
      <c r="J154" s="6" t="n"/>
    </row>
    <row r="155">
      <c r="A155" s="6" t="n"/>
      <c r="B155" s="6" t="n"/>
      <c r="C155" s="6" t="n"/>
      <c r="D155" s="6" t="n"/>
      <c r="E155" s="6" t="inlineStr"/>
      <c r="F155" s="6" t="inlineStr"/>
      <c r="G155" s="6" t="inlineStr"/>
      <c r="H155" s="6" t="inlineStr"/>
      <c r="I155" s="6" t="n"/>
      <c r="J155" s="6" t="n"/>
    </row>
    <row r="156">
      <c r="A156" s="6" t="n"/>
      <c r="B156" s="6" t="n"/>
      <c r="C156" s="6" t="n"/>
      <c r="D156" s="6" t="n"/>
      <c r="E156" s="6" t="inlineStr"/>
      <c r="F156" s="6" t="inlineStr"/>
      <c r="G156" s="6" t="inlineStr"/>
      <c r="H156" s="6" t="inlineStr"/>
      <c r="I156" s="6" t="n"/>
      <c r="J156" s="6" t="n"/>
    </row>
    <row r="157">
      <c r="A157" s="6" t="n"/>
      <c r="B157" s="6" t="n"/>
      <c r="C157" s="6" t="n"/>
      <c r="D157" s="6" t="n"/>
      <c r="E157" s="6" t="inlineStr"/>
      <c r="F157" s="6" t="inlineStr"/>
      <c r="G157" s="6" t="inlineStr"/>
      <c r="H157" s="6" t="inlineStr"/>
      <c r="I157" s="6" t="n"/>
      <c r="J157" s="6" t="n"/>
    </row>
    <row r="158">
      <c r="A158" s="6" t="n"/>
      <c r="B158" s="6" t="n"/>
      <c r="C158" s="6" t="n"/>
      <c r="D158" s="6" t="n"/>
      <c r="E158" s="6" t="inlineStr"/>
      <c r="F158" s="6" t="inlineStr"/>
      <c r="G158" s="6" t="inlineStr"/>
      <c r="H158" s="6" t="inlineStr"/>
      <c r="I158" s="6" t="n"/>
      <c r="J158" s="6" t="n"/>
    </row>
    <row r="159">
      <c r="A159" s="6" t="n"/>
      <c r="B159" s="6" t="n"/>
      <c r="C159" s="6" t="n"/>
      <c r="D159" s="6" t="n"/>
      <c r="E159" s="6" t="inlineStr"/>
      <c r="F159" s="6" t="inlineStr"/>
      <c r="G159" s="6" t="inlineStr"/>
      <c r="H159" s="6" t="inlineStr"/>
      <c r="I159" s="6" t="n"/>
      <c r="J159" s="6" t="n"/>
    </row>
    <row r="160">
      <c r="A160" s="6" t="n"/>
      <c r="B160" s="6" t="n"/>
      <c r="C160" s="6" t="n"/>
      <c r="D160" s="6" t="n"/>
      <c r="E160" s="6" t="inlineStr"/>
      <c r="F160" s="6" t="inlineStr"/>
      <c r="G160" s="6" t="inlineStr"/>
      <c r="H160" s="6" t="inlineStr"/>
      <c r="I160" s="6" t="n"/>
      <c r="J160" s="6" t="n"/>
    </row>
    <row r="161">
      <c r="A161" s="6" t="n"/>
      <c r="B161" s="6" t="n"/>
      <c r="C161" s="6" t="n"/>
      <c r="D161" s="6" t="n"/>
      <c r="E161" s="6" t="inlineStr"/>
      <c r="F161" s="6" t="inlineStr"/>
      <c r="G161" s="6" t="inlineStr"/>
      <c r="H161" s="6" t="inlineStr"/>
      <c r="I161" s="6" t="n"/>
      <c r="J161" s="6" t="n"/>
    </row>
    <row r="162">
      <c r="A162" s="6" t="n"/>
      <c r="B162" s="6" t="n"/>
      <c r="C162" s="6" t="n"/>
      <c r="D162" s="6" t="n"/>
      <c r="E162" s="6" t="inlineStr"/>
      <c r="F162" s="6" t="inlineStr"/>
      <c r="G162" s="6" t="inlineStr"/>
      <c r="H162" s="6" t="inlineStr"/>
      <c r="I162" s="6" t="n"/>
      <c r="J162" s="6" t="n"/>
    </row>
    <row r="163">
      <c r="A163" s="6" t="n"/>
      <c r="B163" s="6" t="n"/>
      <c r="C163" s="6" t="n"/>
      <c r="D163" s="6" t="n"/>
      <c r="E163" s="6" t="inlineStr"/>
      <c r="F163" s="6" t="inlineStr"/>
      <c r="G163" s="6" t="inlineStr"/>
      <c r="H163" s="6" t="inlineStr"/>
      <c r="I163" s="6" t="n"/>
      <c r="J163" s="6" t="n"/>
    </row>
    <row r="164">
      <c r="A164" s="6" t="n"/>
      <c r="B164" s="6" t="n"/>
      <c r="C164" s="6" t="n"/>
      <c r="D164" s="6" t="n"/>
      <c r="E164" s="6" t="inlineStr"/>
      <c r="F164" s="6" t="inlineStr"/>
      <c r="G164" s="6" t="inlineStr"/>
      <c r="H164" s="6" t="inlineStr"/>
      <c r="I164" s="6" t="n"/>
      <c r="J164" s="6" t="n"/>
    </row>
    <row r="165">
      <c r="A165" s="6" t="n"/>
      <c r="B165" s="6" t="n"/>
      <c r="C165" s="6" t="n"/>
      <c r="D165" s="6" t="n"/>
      <c r="E165" s="6" t="inlineStr"/>
      <c r="F165" s="6" t="inlineStr"/>
      <c r="G165" s="6" t="inlineStr"/>
      <c r="H165" s="6" t="inlineStr"/>
      <c r="I165" s="6" t="n"/>
      <c r="J165" s="6" t="n"/>
    </row>
    <row r="166">
      <c r="A166" s="6" t="n"/>
      <c r="B166" s="6" t="n"/>
      <c r="C166" s="6" t="n"/>
      <c r="D166" s="6" t="n"/>
      <c r="E166" s="6" t="inlineStr"/>
      <c r="F166" s="6" t="inlineStr"/>
      <c r="G166" s="6" t="inlineStr"/>
      <c r="H166" s="6" t="inlineStr"/>
      <c r="I166" s="6" t="n"/>
      <c r="J166" s="6" t="n"/>
    </row>
    <row r="167">
      <c r="A167" s="6" t="n"/>
      <c r="B167" s="6" t="n"/>
      <c r="C167" s="6" t="n"/>
      <c r="D167" s="6" t="n"/>
      <c r="E167" s="6" t="inlineStr"/>
      <c r="F167" s="6" t="inlineStr"/>
      <c r="G167" s="6" t="inlineStr"/>
      <c r="H167" s="6" t="inlineStr"/>
      <c r="I167" s="6" t="n"/>
      <c r="J167" s="6" t="n"/>
    </row>
    <row r="168">
      <c r="A168" s="6" t="n"/>
      <c r="B168" s="6" t="n"/>
      <c r="C168" s="6" t="n"/>
      <c r="D168" s="6" t="n"/>
      <c r="E168" s="6" t="inlineStr"/>
      <c r="F168" s="6" t="inlineStr"/>
      <c r="G168" s="6" t="inlineStr"/>
      <c r="H168" s="6" t="inlineStr"/>
      <c r="I168" s="6" t="n"/>
      <c r="J168" s="6" t="n"/>
    </row>
    <row r="169">
      <c r="A169" s="6" t="n"/>
      <c r="B169" s="6" t="n"/>
      <c r="C169" s="6" t="n"/>
      <c r="D169" s="6" t="n"/>
      <c r="E169" s="6" t="inlineStr"/>
      <c r="F169" s="6" t="inlineStr"/>
      <c r="G169" s="6" t="inlineStr"/>
      <c r="H169" s="6" t="inlineStr"/>
      <c r="I169" s="6" t="n"/>
      <c r="J169" s="6" t="n"/>
    </row>
    <row r="170">
      <c r="A170" s="6" t="n"/>
      <c r="B170" s="6" t="n"/>
      <c r="C170" s="6" t="n"/>
      <c r="D170" s="6" t="n"/>
      <c r="E170" s="6" t="inlineStr"/>
      <c r="F170" s="6" t="inlineStr"/>
      <c r="G170" s="6" t="inlineStr"/>
      <c r="H170" s="6" t="inlineStr"/>
      <c r="I170" s="6" t="n"/>
      <c r="J170" s="6" t="n"/>
    </row>
    <row r="171">
      <c r="A171" s="6" t="n"/>
      <c r="B171" s="6" t="n"/>
      <c r="C171" s="6" t="n"/>
      <c r="D171" s="6" t="n"/>
      <c r="E171" s="6" t="inlineStr"/>
      <c r="F171" s="6" t="inlineStr"/>
      <c r="G171" s="6" t="inlineStr"/>
      <c r="H171" s="6" t="inlineStr"/>
      <c r="I171" s="6" t="n"/>
      <c r="J171" s="6" t="n"/>
    </row>
    <row r="172">
      <c r="A172" s="6" t="n"/>
      <c r="B172" s="6" t="n"/>
      <c r="C172" s="6" t="n"/>
      <c r="D172" s="6" t="n"/>
      <c r="E172" s="6" t="inlineStr"/>
      <c r="F172" s="6" t="inlineStr"/>
      <c r="G172" s="6" t="inlineStr"/>
      <c r="H172" s="6" t="inlineStr"/>
      <c r="I172" s="6" t="n"/>
      <c r="J172" s="6" t="n"/>
    </row>
    <row r="173">
      <c r="A173" s="6" t="n"/>
      <c r="B173" s="6" t="n"/>
      <c r="C173" s="6" t="n"/>
      <c r="D173" s="6" t="n"/>
      <c r="E173" s="6" t="inlineStr"/>
      <c r="F173" s="6" t="inlineStr"/>
      <c r="G173" s="6" t="inlineStr"/>
      <c r="H173" s="6" t="inlineStr"/>
      <c r="I173" s="6" t="n"/>
      <c r="J173" s="6" t="n"/>
    </row>
    <row r="174">
      <c r="A174" s="6" t="n"/>
      <c r="B174" s="6" t="n"/>
      <c r="C174" s="6" t="n"/>
      <c r="D174" s="6" t="n"/>
      <c r="E174" s="6" t="inlineStr"/>
      <c r="F174" s="6" t="inlineStr"/>
      <c r="G174" s="6" t="inlineStr"/>
      <c r="H174" s="6" t="inlineStr"/>
      <c r="I174" s="6" t="n"/>
      <c r="J174" s="6" t="n"/>
    </row>
    <row r="175">
      <c r="A175" s="6" t="n"/>
      <c r="B175" s="6" t="n"/>
      <c r="C175" s="6" t="n"/>
      <c r="D175" s="6" t="n"/>
      <c r="E175" s="6" t="inlineStr"/>
      <c r="F175" s="6" t="inlineStr"/>
      <c r="G175" s="6" t="inlineStr"/>
      <c r="H175" s="6" t="inlineStr"/>
      <c r="I175" s="6" t="n"/>
      <c r="J175" s="6" t="n"/>
    </row>
    <row r="176">
      <c r="A176" s="6" t="n"/>
      <c r="B176" s="6" t="n"/>
      <c r="C176" s="6" t="n"/>
      <c r="D176" s="6" t="n"/>
      <c r="E176" s="6" t="inlineStr"/>
      <c r="F176" s="6" t="inlineStr"/>
      <c r="G176" s="6" t="inlineStr"/>
      <c r="H176" s="6" t="inlineStr"/>
      <c r="I176" s="6" t="n"/>
      <c r="J176" s="6" t="n"/>
    </row>
    <row r="177">
      <c r="A177" s="6" t="n"/>
      <c r="B177" s="6" t="n"/>
      <c r="C177" s="6" t="n"/>
      <c r="D177" s="6" t="n"/>
      <c r="E177" s="6" t="inlineStr"/>
      <c r="F177" s="6" t="inlineStr"/>
      <c r="G177" s="6" t="inlineStr"/>
      <c r="H177" s="6" t="inlineStr"/>
      <c r="I177" s="6" t="n"/>
      <c r="J177" s="6" t="n"/>
    </row>
    <row r="178">
      <c r="A178" s="6" t="n"/>
      <c r="B178" s="6" t="n"/>
      <c r="C178" s="6" t="n"/>
      <c r="D178" s="6" t="n"/>
      <c r="E178" s="6" t="inlineStr"/>
      <c r="F178" s="6" t="inlineStr"/>
      <c r="G178" s="6" t="inlineStr"/>
      <c r="H178" s="6" t="inlineStr"/>
      <c r="I178" s="6" t="n"/>
      <c r="J178" s="6" t="n"/>
    </row>
    <row r="179">
      <c r="A179" s="6" t="n"/>
      <c r="B179" s="6" t="n"/>
      <c r="C179" s="6" t="n"/>
      <c r="D179" s="6" t="n"/>
      <c r="E179" s="6" t="inlineStr"/>
      <c r="F179" s="6" t="inlineStr"/>
      <c r="G179" s="6" t="inlineStr"/>
      <c r="H179" s="6" t="inlineStr"/>
      <c r="I179" s="6" t="n"/>
      <c r="J179" s="6" t="n"/>
    </row>
    <row r="180">
      <c r="A180" s="6" t="n"/>
      <c r="B180" s="6" t="n"/>
      <c r="C180" s="6" t="n"/>
      <c r="D180" s="6" t="n"/>
      <c r="E180" s="6" t="inlineStr"/>
      <c r="F180" s="6" t="inlineStr"/>
      <c r="G180" s="6" t="inlineStr"/>
      <c r="H180" s="6" t="inlineStr"/>
      <c r="I180" s="6" t="n"/>
      <c r="J180" s="6" t="n"/>
    </row>
    <row r="181">
      <c r="A181" s="6" t="n"/>
      <c r="B181" s="6" t="n"/>
      <c r="C181" s="6" t="n"/>
      <c r="D181" s="6" t="n"/>
      <c r="E181" s="6" t="inlineStr"/>
      <c r="F181" s="6" t="inlineStr"/>
      <c r="G181" s="6" t="inlineStr"/>
      <c r="H181" s="6" t="inlineStr"/>
      <c r="I181" s="6" t="n"/>
      <c r="J181" s="6" t="n"/>
    </row>
    <row r="182">
      <c r="A182" s="6" t="n"/>
      <c r="B182" s="6" t="n"/>
      <c r="C182" s="6" t="n"/>
      <c r="D182" s="6" t="n"/>
      <c r="E182" s="6" t="inlineStr"/>
      <c r="F182" s="6" t="inlineStr"/>
      <c r="G182" s="6" t="inlineStr"/>
      <c r="H182" s="6" t="inlineStr"/>
      <c r="I182" s="6" t="n"/>
      <c r="J182" s="6" t="n"/>
    </row>
    <row r="183">
      <c r="A183" s="6" t="n"/>
      <c r="B183" s="6" t="n"/>
      <c r="C183" s="6" t="n"/>
      <c r="D183" s="6" t="n"/>
      <c r="E183" s="6" t="inlineStr"/>
      <c r="F183" s="6" t="inlineStr"/>
      <c r="G183" s="6" t="inlineStr"/>
      <c r="H183" s="6" t="inlineStr"/>
      <c r="I183" s="6" t="n"/>
      <c r="J183" s="6" t="n"/>
    </row>
    <row r="184">
      <c r="A184" s="6" t="n"/>
      <c r="B184" s="6" t="n"/>
      <c r="C184" s="6" t="n"/>
      <c r="D184" s="6" t="n"/>
      <c r="E184" s="6" t="inlineStr"/>
      <c r="F184" s="6" t="inlineStr"/>
      <c r="G184" s="6" t="inlineStr"/>
      <c r="H184" s="6" t="inlineStr"/>
      <c r="I184" s="6" t="n"/>
      <c r="J184" s="6" t="n"/>
    </row>
    <row r="185">
      <c r="A185" s="6" t="n"/>
      <c r="B185" s="6" t="n"/>
      <c r="C185" s="6" t="n"/>
      <c r="D185" s="6" t="n"/>
      <c r="E185" s="6" t="inlineStr"/>
      <c r="F185" s="6" t="inlineStr"/>
      <c r="G185" s="6" t="inlineStr"/>
      <c r="H185" s="6" t="inlineStr"/>
      <c r="I185" s="6" t="n"/>
      <c r="J185" s="6" t="n"/>
    </row>
    <row r="186">
      <c r="A186" s="6" t="n"/>
      <c r="B186" s="6" t="n"/>
      <c r="C186" s="6" t="n"/>
      <c r="D186" s="6" t="n"/>
      <c r="E186" s="6" t="inlineStr"/>
      <c r="F186" s="6" t="inlineStr"/>
      <c r="G186" s="6" t="inlineStr"/>
      <c r="H186" s="6" t="inlineStr"/>
      <c r="I186" s="6" t="n"/>
      <c r="J186" s="6" t="n"/>
    </row>
    <row r="187">
      <c r="A187" s="6" t="n"/>
      <c r="B187" s="6" t="n"/>
      <c r="C187" s="6" t="n"/>
      <c r="D187" s="6" t="n"/>
      <c r="E187" s="6" t="inlineStr"/>
      <c r="F187" s="6" t="inlineStr"/>
      <c r="G187" s="6" t="inlineStr"/>
      <c r="H187" s="6" t="inlineStr"/>
      <c r="I187" s="6" t="n"/>
      <c r="J187" s="6" t="n"/>
    </row>
    <row r="188">
      <c r="A188" s="6" t="n"/>
      <c r="B188" s="6" t="n"/>
      <c r="C188" s="6" t="n"/>
      <c r="D188" s="6" t="n"/>
      <c r="E188" s="6" t="inlineStr"/>
      <c r="F188" s="6" t="inlineStr"/>
      <c r="G188" s="6" t="inlineStr"/>
      <c r="H188" s="6" t="inlineStr"/>
      <c r="I188" s="6" t="n"/>
      <c r="J188" s="6" t="n"/>
    </row>
    <row r="189">
      <c r="A189" s="6" t="n"/>
      <c r="B189" s="6" t="n"/>
      <c r="C189" s="6" t="n"/>
      <c r="D189" s="6" t="n"/>
      <c r="E189" s="6" t="inlineStr"/>
      <c r="F189" s="6" t="inlineStr"/>
      <c r="G189" s="6" t="inlineStr"/>
      <c r="H189" s="6" t="inlineStr"/>
      <c r="I189" s="6" t="n"/>
      <c r="J189" s="6" t="n"/>
    </row>
    <row r="190">
      <c r="A190" s="6" t="n"/>
      <c r="B190" s="6" t="n"/>
      <c r="C190" s="6" t="n"/>
      <c r="D190" s="6" t="n"/>
      <c r="E190" s="6" t="inlineStr"/>
      <c r="F190" s="6" t="inlineStr"/>
      <c r="G190" s="6" t="inlineStr"/>
      <c r="H190" s="6" t="inlineStr"/>
      <c r="I190" s="6" t="n"/>
      <c r="J190" s="6" t="n"/>
    </row>
    <row r="191">
      <c r="A191" s="6" t="n"/>
      <c r="B191" s="6" t="n"/>
      <c r="C191" s="6" t="n"/>
      <c r="D191" s="6" t="n"/>
      <c r="E191" s="6" t="inlineStr"/>
      <c r="F191" s="6" t="inlineStr"/>
      <c r="G191" s="6" t="inlineStr"/>
      <c r="H191" s="6" t="inlineStr"/>
      <c r="I191" s="6" t="n"/>
      <c r="J191" s="6" t="n"/>
    </row>
    <row r="192">
      <c r="A192" s="6" t="n"/>
      <c r="B192" s="6" t="n"/>
      <c r="C192" s="6" t="n"/>
      <c r="D192" s="6" t="n"/>
      <c r="E192" s="6" t="inlineStr"/>
      <c r="F192" s="6" t="inlineStr"/>
      <c r="G192" s="6" t="inlineStr"/>
      <c r="H192" s="6" t="inlineStr"/>
      <c r="I192" s="6" t="n"/>
      <c r="J192" s="6" t="n"/>
    </row>
    <row r="193">
      <c r="A193" s="6" t="n"/>
      <c r="B193" s="6" t="n"/>
      <c r="C193" s="6" t="n"/>
      <c r="D193" s="6" t="n"/>
      <c r="E193" s="6" t="inlineStr"/>
      <c r="F193" s="6" t="inlineStr"/>
      <c r="G193" s="6" t="inlineStr"/>
      <c r="H193" s="6" t="inlineStr"/>
      <c r="I193" s="6" t="n"/>
      <c r="J193" s="6" t="n"/>
    </row>
    <row r="194">
      <c r="A194" s="6" t="n"/>
      <c r="B194" s="6" t="n"/>
      <c r="C194" s="6" t="n"/>
      <c r="D194" s="6" t="n"/>
      <c r="E194" s="6" t="inlineStr"/>
      <c r="F194" s="6" t="inlineStr"/>
      <c r="G194" s="6" t="inlineStr"/>
      <c r="H194" s="6" t="inlineStr"/>
      <c r="I194" s="6" t="n"/>
      <c r="J194" s="6" t="n"/>
    </row>
    <row r="195">
      <c r="A195" s="6" t="n"/>
      <c r="B195" s="6" t="n"/>
      <c r="C195" s="6" t="n"/>
      <c r="D195" s="6" t="n"/>
      <c r="E195" s="6" t="inlineStr"/>
      <c r="F195" s="6" t="inlineStr"/>
      <c r="G195" s="6" t="inlineStr"/>
      <c r="H195" s="6" t="inlineStr"/>
      <c r="I195" s="6" t="n"/>
      <c r="J195" s="6" t="n"/>
    </row>
    <row r="196">
      <c r="A196" s="6" t="n"/>
      <c r="B196" s="6" t="n"/>
      <c r="C196" s="6" t="n"/>
      <c r="D196" s="6" t="n"/>
      <c r="E196" s="6" t="inlineStr"/>
      <c r="F196" s="6" t="inlineStr"/>
      <c r="G196" s="6" t="inlineStr"/>
      <c r="H196" s="6" t="inlineStr"/>
      <c r="I196" s="6" t="n"/>
      <c r="J196" s="6" t="n"/>
    </row>
    <row r="197">
      <c r="A197" s="6" t="n"/>
      <c r="B197" s="6" t="n"/>
      <c r="C197" s="6" t="n"/>
      <c r="D197" s="6" t="n"/>
      <c r="E197" s="6" t="inlineStr"/>
      <c r="F197" s="6" t="inlineStr"/>
      <c r="G197" s="6" t="inlineStr"/>
      <c r="H197" s="6" t="inlineStr"/>
      <c r="I197" s="6" t="n"/>
      <c r="J197" s="6" t="n"/>
    </row>
    <row r="198">
      <c r="A198" s="6" t="n"/>
      <c r="B198" s="6" t="n"/>
      <c r="C198" s="6" t="n"/>
      <c r="D198" s="6" t="n"/>
      <c r="E198" s="6" t="inlineStr"/>
      <c r="F198" s="6" t="inlineStr"/>
      <c r="G198" s="6" t="inlineStr"/>
      <c r="H198" s="6" t="inlineStr"/>
      <c r="I198" s="6" t="n"/>
      <c r="J198" s="6" t="n"/>
    </row>
    <row r="199">
      <c r="A199" s="6" t="n"/>
      <c r="B199" s="6" t="n"/>
      <c r="C199" s="6" t="n"/>
      <c r="D199" s="6" t="n"/>
      <c r="E199" s="6" t="inlineStr"/>
      <c r="F199" s="6" t="inlineStr"/>
      <c r="G199" s="6" t="inlineStr"/>
      <c r="H199" s="6" t="inlineStr"/>
      <c r="I199" s="6" t="n"/>
      <c r="J199" s="6" t="n"/>
    </row>
    <row r="200">
      <c r="A200" s="6" t="n"/>
      <c r="B200" s="6" t="n"/>
      <c r="C200" s="6" t="n"/>
      <c r="D200" s="6" t="n"/>
      <c r="E200" s="6" t="inlineStr"/>
      <c r="F200" s="6" t="inlineStr"/>
      <c r="G200" s="6" t="inlineStr"/>
      <c r="H200" s="6" t="inlineStr"/>
      <c r="I200" s="6" t="n"/>
      <c r="J200" s="6" t="n"/>
    </row>
    <row r="201">
      <c r="A201" s="6" t="n"/>
      <c r="B201" s="6" t="n"/>
      <c r="C201" s="6" t="n"/>
      <c r="D201" s="6" t="n"/>
      <c r="E201" s="6" t="inlineStr"/>
      <c r="F201" s="6" t="inlineStr"/>
      <c r="G201" s="6" t="inlineStr"/>
      <c r="H201" s="6" t="inlineStr"/>
      <c r="I201" s="6" t="n"/>
      <c r="J201" s="6" t="n"/>
    </row>
    <row r="202">
      <c r="A202" s="6" t="n"/>
      <c r="B202" s="6" t="n"/>
      <c r="C202" s="6" t="n"/>
      <c r="D202" s="6" t="n"/>
      <c r="E202" s="6" t="inlineStr"/>
      <c r="F202" s="6" t="inlineStr"/>
      <c r="G202" s="6" t="inlineStr"/>
      <c r="H202" s="6" t="inlineStr"/>
      <c r="I202" s="6" t="n"/>
      <c r="J202" s="6" t="n"/>
    </row>
    <row r="203">
      <c r="A203" s="6" t="n"/>
      <c r="B203" s="6" t="n"/>
      <c r="C203" s="6" t="n"/>
      <c r="D203" s="6" t="n"/>
      <c r="E203" s="6" t="inlineStr"/>
      <c r="F203" s="6" t="inlineStr"/>
      <c r="G203" s="6" t="inlineStr"/>
      <c r="H203" s="6" t="inlineStr"/>
      <c r="I203" s="6" t="n"/>
      <c r="J203" s="6" t="n"/>
    </row>
    <row r="204">
      <c r="A204" s="6" t="n"/>
      <c r="B204" s="6" t="n"/>
      <c r="C204" s="6" t="n"/>
      <c r="D204" s="6" t="n"/>
      <c r="E204" s="6" t="inlineStr"/>
      <c r="F204" s="6" t="inlineStr"/>
      <c r="G204" s="6" t="inlineStr"/>
      <c r="H204" s="6" t="inlineStr"/>
      <c r="I204" s="6" t="n"/>
      <c r="J204" s="6" t="n"/>
    </row>
    <row r="205">
      <c r="A205" s="6" t="n"/>
      <c r="B205" s="6" t="n"/>
      <c r="C205" s="6" t="n"/>
      <c r="D205" s="6" t="n"/>
      <c r="E205" s="6" t="inlineStr"/>
      <c r="F205" s="6" t="inlineStr"/>
      <c r="G205" s="6" t="inlineStr"/>
      <c r="H205" s="6" t="inlineStr"/>
      <c r="I205" s="6" t="n"/>
      <c r="J205" s="6" t="n"/>
    </row>
    <row r="206">
      <c r="A206" s="6" t="n"/>
      <c r="B206" s="6" t="n"/>
      <c r="C206" s="6" t="n"/>
      <c r="D206" s="6" t="n"/>
      <c r="E206" s="6" t="inlineStr"/>
      <c r="F206" s="6" t="inlineStr"/>
      <c r="G206" s="6" t="inlineStr"/>
      <c r="H206" s="6" t="inlineStr"/>
      <c r="I206" s="6" t="n"/>
      <c r="J206" s="6" t="n"/>
    </row>
    <row r="207">
      <c r="A207" s="6" t="n"/>
      <c r="B207" s="6" t="n"/>
      <c r="C207" s="6" t="n"/>
      <c r="D207" s="6" t="n"/>
      <c r="E207" s="6" t="inlineStr"/>
      <c r="F207" s="6" t="inlineStr"/>
      <c r="G207" s="6" t="inlineStr"/>
      <c r="H207" s="6" t="inlineStr"/>
      <c r="I207" s="6" t="n"/>
      <c r="J207" s="6" t="n"/>
    </row>
    <row r="208">
      <c r="A208" s="6" t="n"/>
      <c r="B208" s="6" t="n"/>
      <c r="C208" s="6" t="n"/>
      <c r="D208" s="6" t="n"/>
      <c r="E208" s="6" t="inlineStr"/>
      <c r="F208" s="6" t="inlineStr"/>
      <c r="G208" s="6" t="inlineStr"/>
      <c r="H208" s="6" t="inlineStr"/>
      <c r="I208" s="6" t="n"/>
      <c r="J208" s="6" t="n"/>
    </row>
    <row r="209">
      <c r="A209" s="6" t="n"/>
      <c r="B209" s="6" t="n"/>
      <c r="C209" s="6" t="n"/>
      <c r="D209" s="6" t="n"/>
      <c r="E209" s="6" t="inlineStr"/>
      <c r="F209" s="6" t="inlineStr"/>
      <c r="G209" s="6" t="inlineStr"/>
      <c r="H209" s="6" t="inlineStr"/>
      <c r="I209" s="6" t="n"/>
      <c r="J209" s="6" t="n"/>
    </row>
    <row r="210">
      <c r="A210" s="6" t="n"/>
      <c r="B210" s="6" t="n"/>
      <c r="C210" s="6" t="n"/>
      <c r="D210" s="6" t="n"/>
      <c r="E210" s="6" t="inlineStr"/>
      <c r="F210" s="6" t="inlineStr"/>
      <c r="G210" s="6" t="inlineStr"/>
      <c r="H210" s="6" t="inlineStr"/>
      <c r="I210" s="6" t="n"/>
      <c r="J210" s="6" t="n"/>
    </row>
    <row r="211">
      <c r="A211" s="6" t="n"/>
      <c r="B211" s="6" t="n"/>
      <c r="C211" s="6" t="n"/>
      <c r="D211" s="6" t="n"/>
      <c r="E211" s="6" t="inlineStr"/>
      <c r="F211" s="6" t="inlineStr"/>
      <c r="G211" s="6" t="inlineStr"/>
      <c r="H211" s="6" t="inlineStr"/>
      <c r="I211" s="6" t="n"/>
      <c r="J211" s="6" t="n"/>
    </row>
    <row r="212">
      <c r="A212" s="6" t="n"/>
      <c r="B212" s="6" t="n"/>
      <c r="C212" s="6" t="n"/>
      <c r="D212" s="6" t="n"/>
      <c r="E212" s="6" t="inlineStr"/>
      <c r="F212" s="6" t="inlineStr"/>
      <c r="G212" s="6" t="inlineStr"/>
      <c r="H212" s="6" t="inlineStr"/>
      <c r="I212" s="6" t="n"/>
      <c r="J212" s="6" t="n"/>
    </row>
    <row r="213">
      <c r="A213" s="6" t="n"/>
      <c r="B213" s="6" t="n"/>
      <c r="C213" s="6" t="n"/>
      <c r="D213" s="6" t="n"/>
      <c r="E213" s="6" t="inlineStr"/>
      <c r="F213" s="6" t="inlineStr"/>
      <c r="G213" s="6" t="inlineStr"/>
      <c r="H213" s="6" t="inlineStr"/>
      <c r="I213" s="6" t="n"/>
      <c r="J213" s="6" t="n"/>
    </row>
    <row r="214">
      <c r="A214" s="6" t="n"/>
      <c r="B214" s="6" t="n"/>
      <c r="C214" s="6" t="n"/>
      <c r="D214" s="6" t="n"/>
      <c r="E214" s="6" t="inlineStr"/>
      <c r="F214" s="6" t="inlineStr"/>
      <c r="G214" s="6" t="inlineStr"/>
      <c r="H214" s="6" t="inlineStr"/>
      <c r="I214" s="6" t="n"/>
      <c r="J214" s="6" t="n"/>
    </row>
    <row r="215">
      <c r="A215" s="6" t="n"/>
      <c r="B215" s="6" t="n"/>
      <c r="C215" s="6" t="n"/>
      <c r="D215" s="6" t="n"/>
      <c r="E215" s="6" t="inlineStr"/>
      <c r="F215" s="6" t="inlineStr"/>
      <c r="G215" s="6" t="inlineStr"/>
      <c r="H215" s="6" t="inlineStr"/>
      <c r="I215" s="6" t="n"/>
      <c r="J215" s="6" t="n"/>
    </row>
    <row r="216">
      <c r="A216" s="6" t="n"/>
      <c r="B216" s="6" t="n"/>
      <c r="C216" s="6" t="n"/>
      <c r="D216" s="6" t="n"/>
      <c r="E216" s="6" t="inlineStr"/>
      <c r="F216" s="6" t="inlineStr"/>
      <c r="G216" s="6" t="inlineStr"/>
      <c r="H216" s="6" t="inlineStr"/>
      <c r="I216" s="6" t="n"/>
      <c r="J216" s="6" t="n"/>
    </row>
    <row r="217">
      <c r="A217" s="6" t="n"/>
      <c r="B217" s="6" t="n"/>
      <c r="C217" s="6" t="n"/>
      <c r="D217" s="6" t="n"/>
      <c r="E217" s="6" t="inlineStr"/>
      <c r="F217" s="6" t="inlineStr"/>
      <c r="G217" s="6" t="inlineStr"/>
      <c r="H217" s="6" t="inlineStr"/>
      <c r="I217" s="6" t="n"/>
      <c r="J217" s="6" t="n"/>
    </row>
    <row r="218">
      <c r="A218" s="6" t="n"/>
      <c r="B218" s="6" t="n"/>
      <c r="C218" s="6" t="n"/>
      <c r="D218" s="6" t="n"/>
      <c r="E218" s="6" t="inlineStr"/>
      <c r="F218" s="6" t="inlineStr"/>
      <c r="G218" s="6" t="inlineStr"/>
      <c r="H218" s="6" t="inlineStr"/>
      <c r="I218" s="6" t="n"/>
      <c r="J218" s="6" t="n"/>
    </row>
    <row r="219">
      <c r="A219" s="6" t="n"/>
      <c r="B219" s="6" t="n"/>
      <c r="C219" s="6" t="n"/>
      <c r="D219" s="6" t="n"/>
      <c r="E219" s="6" t="inlineStr"/>
      <c r="F219" s="6" t="inlineStr"/>
      <c r="G219" s="6" t="inlineStr"/>
      <c r="H219" s="6" t="inlineStr"/>
      <c r="I219" s="6" t="n"/>
      <c r="J219" s="6" t="n"/>
    </row>
    <row r="220">
      <c r="A220" s="6" t="n"/>
      <c r="B220" s="6" t="n"/>
      <c r="C220" s="6" t="n"/>
      <c r="D220" s="6" t="n"/>
      <c r="E220" s="6" t="inlineStr"/>
      <c r="F220" s="6" t="inlineStr"/>
      <c r="G220" s="6" t="inlineStr"/>
      <c r="H220" s="6" t="inlineStr"/>
      <c r="I220" s="6" t="n"/>
      <c r="J220" s="6" t="n"/>
    </row>
    <row r="221">
      <c r="A221" s="6" t="n"/>
      <c r="B221" s="6" t="n"/>
      <c r="C221" s="6" t="n"/>
      <c r="D221" s="6" t="n"/>
      <c r="E221" s="6" t="inlineStr"/>
      <c r="F221" s="6" t="inlineStr"/>
      <c r="G221" s="6" t="inlineStr"/>
      <c r="H221" s="6" t="inlineStr"/>
      <c r="I221" s="6" t="n"/>
      <c r="J221" s="6" t="n"/>
    </row>
    <row r="222">
      <c r="A222" s="6" t="n"/>
      <c r="B222" s="6" t="n"/>
      <c r="C222" s="6" t="n"/>
      <c r="D222" s="6" t="n"/>
      <c r="E222" s="6" t="inlineStr"/>
      <c r="F222" s="6" t="inlineStr"/>
      <c r="G222" s="6" t="inlineStr"/>
      <c r="H222" s="6" t="inlineStr"/>
      <c r="I222" s="6" t="n"/>
      <c r="J222" s="6" t="n"/>
    </row>
    <row r="223">
      <c r="A223" s="6" t="n"/>
      <c r="B223" s="6" t="n"/>
      <c r="C223" s="6" t="n"/>
      <c r="D223" s="6" t="n"/>
      <c r="E223" s="6" t="inlineStr"/>
      <c r="F223" s="6" t="inlineStr"/>
      <c r="G223" s="6" t="inlineStr"/>
      <c r="H223" s="6" t="inlineStr"/>
      <c r="I223" s="6" t="n"/>
      <c r="J223" s="6" t="n"/>
    </row>
    <row r="224">
      <c r="A224" s="6" t="n"/>
      <c r="B224" s="6" t="n"/>
      <c r="C224" s="6" t="n"/>
      <c r="D224" s="6" t="n"/>
      <c r="E224" s="6" t="inlineStr"/>
      <c r="F224" s="6" t="inlineStr"/>
      <c r="G224" s="6" t="inlineStr"/>
      <c r="H224" s="6" t="inlineStr"/>
      <c r="I224" s="6" t="n"/>
      <c r="J224" s="6" t="n"/>
    </row>
    <row r="225">
      <c r="A225" s="6" t="n"/>
      <c r="B225" s="6" t="n"/>
      <c r="C225" s="6" t="n"/>
      <c r="D225" s="6" t="n"/>
      <c r="E225" s="6" t="inlineStr"/>
      <c r="F225" s="6" t="inlineStr"/>
      <c r="G225" s="6" t="inlineStr"/>
      <c r="H225" s="6" t="inlineStr"/>
      <c r="I225" s="6" t="n"/>
      <c r="J225" s="6" t="n"/>
    </row>
    <row r="226">
      <c r="A226" s="6" t="n"/>
      <c r="B226" s="6" t="n"/>
      <c r="C226" s="6" t="n"/>
      <c r="D226" s="6" t="n"/>
      <c r="E226" s="6" t="inlineStr"/>
      <c r="F226" s="6" t="inlineStr"/>
      <c r="G226" s="6" t="inlineStr"/>
      <c r="H226" s="6" t="inlineStr"/>
      <c r="I226" s="6" t="n"/>
      <c r="J226" s="6" t="n"/>
    </row>
    <row r="227">
      <c r="A227" s="6" t="n"/>
      <c r="B227" s="6" t="n"/>
      <c r="C227" s="6" t="n"/>
      <c r="D227" s="6" t="n"/>
      <c r="E227" s="6" t="inlineStr"/>
      <c r="F227" s="6" t="inlineStr"/>
      <c r="G227" s="6" t="inlineStr"/>
      <c r="H227" s="6" t="inlineStr"/>
      <c r="I227" s="6" t="n"/>
      <c r="J227" s="6" t="n"/>
    </row>
    <row r="228">
      <c r="A228" s="6" t="n"/>
      <c r="B228" s="6" t="n"/>
      <c r="C228" s="6" t="n"/>
      <c r="D228" s="6" t="n"/>
      <c r="E228" s="6" t="inlineStr"/>
      <c r="F228" s="6" t="inlineStr"/>
      <c r="G228" s="6" t="inlineStr"/>
      <c r="H228" s="6" t="inlineStr"/>
      <c r="I228" s="6" t="n"/>
      <c r="J228" s="6" t="n"/>
    </row>
    <row r="229">
      <c r="A229" s="6" t="n"/>
      <c r="B229" s="6" t="n"/>
      <c r="C229" s="6" t="n"/>
      <c r="D229" s="6" t="n"/>
      <c r="E229" s="6" t="inlineStr"/>
      <c r="F229" s="6" t="inlineStr"/>
      <c r="G229" s="6" t="inlineStr"/>
      <c r="H229" s="6" t="inlineStr"/>
      <c r="I229" s="6" t="n"/>
      <c r="J229" s="6" t="n"/>
    </row>
    <row r="230">
      <c r="A230" s="6" t="n"/>
      <c r="B230" s="6" t="n"/>
      <c r="C230" s="6" t="n"/>
      <c r="D230" s="6" t="n"/>
      <c r="E230" s="6" t="inlineStr"/>
      <c r="F230" s="6" t="inlineStr"/>
      <c r="G230" s="6" t="inlineStr"/>
      <c r="H230" s="6" t="inlineStr"/>
      <c r="I230" s="6" t="n"/>
      <c r="J230" s="6" t="n"/>
    </row>
    <row r="231">
      <c r="A231" s="6" t="n"/>
      <c r="B231" s="6" t="n"/>
      <c r="C231" s="6" t="n"/>
      <c r="D231" s="6" t="n"/>
      <c r="E231" s="6" t="inlineStr"/>
      <c r="F231" s="6" t="inlineStr"/>
      <c r="G231" s="6" t="inlineStr"/>
      <c r="H231" s="6" t="inlineStr"/>
      <c r="I231" s="6" t="n"/>
      <c r="J231" s="6" t="n"/>
    </row>
    <row r="232">
      <c r="A232" s="6" t="n"/>
      <c r="B232" s="6" t="n"/>
      <c r="C232" s="6" t="n"/>
      <c r="D232" s="6" t="n"/>
      <c r="E232" s="6" t="inlineStr"/>
      <c r="F232" s="6" t="inlineStr"/>
      <c r="G232" s="6" t="inlineStr"/>
      <c r="H232" s="6" t="inlineStr"/>
      <c r="I232" s="6" t="n"/>
      <c r="J232" s="6" t="n"/>
    </row>
    <row r="233">
      <c r="A233" s="6" t="n"/>
      <c r="B233" s="6" t="n"/>
      <c r="C233" s="6" t="n"/>
      <c r="D233" s="6" t="n"/>
      <c r="E233" s="6" t="inlineStr"/>
      <c r="F233" s="6" t="inlineStr"/>
      <c r="G233" s="6" t="inlineStr"/>
      <c r="H233" s="6" t="inlineStr"/>
      <c r="I233" s="6" t="n"/>
      <c r="J233" s="6" t="n"/>
    </row>
    <row r="234">
      <c r="A234" s="6" t="n"/>
      <c r="B234" s="6" t="n"/>
      <c r="C234" s="6" t="n"/>
      <c r="D234" s="6" t="n"/>
      <c r="E234" s="6" t="inlineStr"/>
      <c r="F234" s="6" t="inlineStr"/>
      <c r="G234" s="6" t="inlineStr"/>
      <c r="H234" s="6" t="inlineStr"/>
      <c r="I234" s="6" t="n"/>
      <c r="J234" s="6" t="n"/>
    </row>
    <row r="235">
      <c r="A235" s="6" t="n"/>
      <c r="B235" s="6" t="n"/>
      <c r="C235" s="6" t="n"/>
      <c r="D235" s="6" t="n"/>
      <c r="E235" s="6" t="inlineStr"/>
      <c r="F235" s="6" t="inlineStr"/>
      <c r="G235" s="6" t="inlineStr"/>
      <c r="H235" s="6" t="inlineStr"/>
      <c r="I235" s="6" t="n"/>
      <c r="J235" s="6" t="n"/>
    </row>
    <row r="236">
      <c r="A236" s="6" t="n"/>
      <c r="B236" s="6" t="n"/>
      <c r="C236" s="6" t="n"/>
      <c r="D236" s="6" t="n"/>
      <c r="E236" s="6" t="inlineStr"/>
      <c r="F236" s="6" t="inlineStr"/>
      <c r="G236" s="6" t="inlineStr"/>
      <c r="H236" s="6" t="inlineStr"/>
      <c r="I236" s="6" t="n"/>
      <c r="J236" s="6" t="n"/>
    </row>
    <row r="237">
      <c r="A237" s="6" t="n"/>
      <c r="B237" s="6" t="n"/>
      <c r="C237" s="6" t="n"/>
      <c r="D237" s="6" t="n"/>
      <c r="E237" s="6" t="inlineStr"/>
      <c r="F237" s="6" t="inlineStr"/>
      <c r="G237" s="6" t="inlineStr"/>
      <c r="H237" s="6" t="inlineStr"/>
      <c r="I237" s="6" t="n"/>
      <c r="J237" s="6" t="n"/>
    </row>
    <row r="238">
      <c r="A238" s="6" t="n"/>
      <c r="B238" s="6" t="n"/>
      <c r="C238" s="6" t="n"/>
      <c r="D238" s="6" t="n"/>
      <c r="E238" s="6" t="inlineStr"/>
      <c r="F238" s="6" t="inlineStr"/>
      <c r="G238" s="6" t="inlineStr"/>
      <c r="H238" s="6" t="inlineStr"/>
      <c r="I238" s="6" t="n"/>
      <c r="J238" s="6" t="n"/>
    </row>
    <row r="239">
      <c r="A239" s="6" t="n"/>
      <c r="B239" s="6" t="n"/>
      <c r="C239" s="6" t="n"/>
      <c r="D239" s="6" t="n"/>
      <c r="E239" s="6" t="inlineStr"/>
      <c r="F239" s="6" t="inlineStr"/>
      <c r="G239" s="6" t="inlineStr"/>
      <c r="H239" s="6" t="inlineStr"/>
      <c r="I239" s="6" t="n"/>
      <c r="J239" s="6" t="n"/>
    </row>
    <row r="240">
      <c r="A240" s="6" t="n"/>
      <c r="B240" s="6" t="n"/>
      <c r="C240" s="6" t="n"/>
      <c r="D240" s="6" t="n"/>
      <c r="E240" s="6" t="inlineStr"/>
      <c r="F240" s="6" t="inlineStr"/>
      <c r="G240" s="6" t="inlineStr"/>
      <c r="H240" s="6" t="inlineStr"/>
      <c r="I240" s="6" t="n"/>
      <c r="J240" s="6" t="n"/>
    </row>
    <row r="241">
      <c r="A241" s="6" t="n"/>
      <c r="B241" s="6" t="n"/>
      <c r="C241" s="6" t="n"/>
      <c r="D241" s="6" t="n"/>
      <c r="E241" s="6" t="inlineStr"/>
      <c r="F241" s="6" t="inlineStr"/>
      <c r="G241" s="6" t="inlineStr"/>
      <c r="H241" s="6" t="inlineStr"/>
      <c r="I241" s="6" t="n"/>
      <c r="J241" s="6" t="n"/>
    </row>
    <row r="242">
      <c r="A242" s="6" t="n"/>
      <c r="B242" s="6" t="n"/>
      <c r="C242" s="6" t="n"/>
      <c r="D242" s="6" t="n"/>
      <c r="E242" s="6" t="inlineStr"/>
      <c r="F242" s="6" t="inlineStr"/>
      <c r="G242" s="6" t="inlineStr"/>
      <c r="H242" s="6" t="inlineStr"/>
      <c r="I242" s="6" t="n"/>
      <c r="J242" s="6" t="n"/>
    </row>
    <row r="243">
      <c r="A243" s="6" t="n"/>
      <c r="B243" s="6" t="n"/>
      <c r="C243" s="6" t="n"/>
      <c r="D243" s="6" t="n"/>
      <c r="E243" s="6" t="inlineStr"/>
      <c r="F243" s="6" t="inlineStr"/>
      <c r="G243" s="6" t="inlineStr"/>
      <c r="H243" s="6" t="inlineStr"/>
      <c r="I243" s="6" t="n"/>
      <c r="J243" s="6" t="n"/>
    </row>
    <row r="244">
      <c r="A244" s="6" t="n"/>
      <c r="B244" s="6" t="n"/>
      <c r="C244" s="6" t="n"/>
      <c r="D244" s="6" t="n"/>
      <c r="E244" s="6" t="inlineStr"/>
      <c r="F244" s="6" t="inlineStr"/>
      <c r="G244" s="6" t="inlineStr"/>
      <c r="H244" s="6" t="inlineStr"/>
      <c r="I244" s="6" t="n"/>
      <c r="J244" s="6" t="n"/>
    </row>
    <row r="245">
      <c r="A245" s="6" t="n"/>
      <c r="B245" s="6" t="n"/>
      <c r="C245" s="6" t="n"/>
      <c r="D245" s="6" t="n"/>
      <c r="E245" s="6" t="inlineStr"/>
      <c r="F245" s="6" t="inlineStr"/>
      <c r="G245" s="6" t="inlineStr"/>
      <c r="H245" s="6" t="inlineStr"/>
      <c r="I245" s="6" t="n"/>
      <c r="J245" s="6" t="n"/>
    </row>
    <row r="246">
      <c r="A246" s="6" t="n"/>
      <c r="B246" s="6" t="n"/>
      <c r="C246" s="6" t="n"/>
      <c r="D246" s="6" t="n"/>
      <c r="E246" s="6" t="inlineStr"/>
      <c r="F246" s="6" t="inlineStr"/>
      <c r="G246" s="6" t="inlineStr"/>
      <c r="H246" s="6" t="inlineStr"/>
      <c r="I246" s="6" t="n"/>
      <c r="J246" s="6" t="n"/>
    </row>
    <row r="247">
      <c r="A247" s="6" t="n"/>
      <c r="B247" s="6" t="n"/>
      <c r="C247" s="6" t="n"/>
      <c r="D247" s="6" t="n"/>
      <c r="E247" s="6" t="inlineStr"/>
      <c r="F247" s="6" t="inlineStr"/>
      <c r="G247" s="6" t="inlineStr"/>
      <c r="H247" s="6" t="inlineStr"/>
      <c r="I247" s="6" t="n"/>
      <c r="J247" s="6" t="n"/>
    </row>
    <row r="248">
      <c r="A248" s="6" t="n"/>
      <c r="B248" s="6" t="n"/>
      <c r="C248" s="6" t="n"/>
      <c r="D248" s="6" t="n"/>
      <c r="E248" s="6" t="inlineStr"/>
      <c r="F248" s="6" t="inlineStr"/>
      <c r="G248" s="6" t="inlineStr"/>
      <c r="H248" s="6" t="inlineStr"/>
      <c r="I248" s="6" t="n"/>
      <c r="J248" s="6" t="n"/>
    </row>
    <row r="249">
      <c r="A249" s="6" t="n"/>
      <c r="B249" s="6" t="n"/>
      <c r="C249" s="6" t="n"/>
      <c r="D249" s="6" t="n"/>
      <c r="E249" s="6" t="inlineStr"/>
      <c r="F249" s="6" t="inlineStr"/>
      <c r="G249" s="6" t="inlineStr"/>
      <c r="H249" s="6" t="inlineStr"/>
      <c r="I249" s="6" t="n"/>
      <c r="J249" s="6" t="n"/>
    </row>
    <row r="250">
      <c r="A250" s="6" t="n"/>
      <c r="B250" s="6" t="n"/>
      <c r="C250" s="6" t="n"/>
      <c r="D250" s="6" t="n"/>
      <c r="E250" s="6" t="inlineStr"/>
      <c r="F250" s="6" t="inlineStr"/>
      <c r="G250" s="6" t="inlineStr"/>
      <c r="H250" s="6" t="inlineStr"/>
      <c r="I250" s="6" t="n"/>
      <c r="J250" s="6" t="n"/>
    </row>
    <row r="251">
      <c r="A251" s="6" t="n"/>
      <c r="B251" s="6" t="n"/>
      <c r="C251" s="6" t="n"/>
      <c r="D251" s="6" t="n"/>
      <c r="E251" s="6" t="inlineStr"/>
      <c r="F251" s="6" t="inlineStr"/>
      <c r="G251" s="6" t="inlineStr"/>
      <c r="H251" s="6" t="inlineStr"/>
      <c r="I251" s="6" t="n"/>
      <c r="J251" s="6" t="n"/>
    </row>
    <row r="252">
      <c r="A252" s="6" t="n"/>
      <c r="B252" s="6" t="n"/>
      <c r="C252" s="6" t="n"/>
      <c r="D252" s="6" t="n"/>
      <c r="E252" s="6" t="inlineStr"/>
      <c r="F252" s="6" t="inlineStr"/>
      <c r="G252" s="6" t="inlineStr"/>
      <c r="H252" s="6" t="inlineStr"/>
      <c r="I252" s="6" t="n"/>
      <c r="J252" s="6" t="n"/>
    </row>
    <row r="253">
      <c r="A253" s="6" t="n"/>
      <c r="B253" s="6" t="n"/>
      <c r="C253" s="6" t="n"/>
      <c r="D253" s="6" t="n"/>
      <c r="E253" s="6" t="inlineStr"/>
      <c r="F253" s="6" t="inlineStr"/>
      <c r="G253" s="6" t="inlineStr"/>
      <c r="H253" s="6" t="inlineStr"/>
      <c r="I253" s="6" t="n"/>
      <c r="J253" s="6" t="n"/>
    </row>
    <row r="254">
      <c r="A254" s="6" t="n"/>
      <c r="B254" s="6" t="n"/>
      <c r="C254" s="6" t="n"/>
      <c r="D254" s="6" t="n"/>
      <c r="E254" s="6" t="inlineStr"/>
      <c r="F254" s="6" t="inlineStr"/>
      <c r="G254" s="6" t="inlineStr"/>
      <c r="H254" s="6" t="inlineStr"/>
      <c r="I254" s="6" t="n"/>
      <c r="J254" s="6" t="n"/>
    </row>
    <row r="255">
      <c r="A255" s="6" t="n"/>
      <c r="B255" s="6" t="n"/>
      <c r="C255" s="6" t="n"/>
      <c r="D255" s="6" t="n"/>
      <c r="E255" s="6" t="inlineStr"/>
      <c r="F255" s="6" t="inlineStr"/>
      <c r="G255" s="6" t="inlineStr"/>
      <c r="H255" s="6" t="inlineStr"/>
      <c r="I255" s="6" t="n"/>
      <c r="J255" s="6" t="n"/>
    </row>
    <row r="256">
      <c r="A256" s="6" t="n"/>
      <c r="B256" s="6" t="n"/>
      <c r="C256" s="6" t="n"/>
      <c r="D256" s="6" t="n"/>
      <c r="E256" s="6" t="inlineStr"/>
      <c r="F256" s="6" t="inlineStr"/>
      <c r="G256" s="6" t="inlineStr"/>
      <c r="H256" s="6" t="inlineStr"/>
      <c r="I256" s="6" t="n"/>
      <c r="J256" s="6" t="n"/>
    </row>
    <row r="257">
      <c r="A257" s="6" t="n"/>
      <c r="B257" s="6" t="n"/>
      <c r="C257" s="6" t="n"/>
      <c r="D257" s="6" t="n"/>
      <c r="E257" s="6" t="inlineStr"/>
      <c r="F257" s="6" t="inlineStr"/>
      <c r="G257" s="6" t="inlineStr"/>
      <c r="H257" s="6" t="inlineStr"/>
      <c r="I257" s="6" t="n"/>
      <c r="J257" s="6" t="n"/>
    </row>
    <row r="258">
      <c r="A258" s="6" t="n"/>
      <c r="B258" s="6" t="n"/>
      <c r="C258" s="6" t="n"/>
      <c r="D258" s="6" t="n"/>
      <c r="E258" s="6" t="inlineStr"/>
      <c r="F258" s="6" t="inlineStr"/>
      <c r="G258" s="6" t="inlineStr"/>
      <c r="H258" s="6" t="inlineStr"/>
      <c r="I258" s="6" t="n"/>
      <c r="J258" s="6" t="n"/>
    </row>
    <row r="259">
      <c r="A259" s="6" t="n"/>
      <c r="B259" s="6" t="n"/>
      <c r="C259" s="6" t="n"/>
      <c r="D259" s="6" t="n"/>
      <c r="E259" s="6" t="inlineStr"/>
      <c r="F259" s="6" t="inlineStr"/>
      <c r="G259" s="6" t="inlineStr"/>
      <c r="H259" s="6" t="inlineStr"/>
      <c r="I259" s="6" t="n"/>
      <c r="J259" s="6" t="n"/>
    </row>
    <row r="260">
      <c r="A260" s="6" t="n"/>
      <c r="B260" s="6" t="n"/>
      <c r="C260" s="6" t="n"/>
      <c r="D260" s="6" t="n"/>
      <c r="E260" s="6" t="inlineStr"/>
      <c r="F260" s="6" t="inlineStr"/>
      <c r="G260" s="6" t="inlineStr"/>
      <c r="H260" s="6" t="inlineStr"/>
      <c r="I260" s="6" t="n"/>
      <c r="J260" s="6" t="n"/>
    </row>
    <row r="261">
      <c r="A261" s="6" t="n"/>
      <c r="B261" s="6" t="n"/>
      <c r="C261" s="6" t="n"/>
      <c r="D261" s="6" t="n"/>
      <c r="E261" s="6" t="inlineStr"/>
      <c r="F261" s="6" t="inlineStr"/>
      <c r="G261" s="6" t="inlineStr"/>
      <c r="H261" s="6" t="inlineStr"/>
      <c r="I261" s="6" t="n"/>
      <c r="J261" s="6" t="n"/>
    </row>
    <row r="262">
      <c r="A262" s="6" t="n"/>
      <c r="B262" s="6" t="n"/>
      <c r="C262" s="6" t="n"/>
      <c r="D262" s="6" t="n"/>
      <c r="E262" s="6" t="inlineStr"/>
      <c r="F262" s="6" t="inlineStr"/>
      <c r="G262" s="6" t="inlineStr"/>
      <c r="H262" s="6" t="inlineStr"/>
      <c r="I262" s="6" t="n"/>
      <c r="J262" s="6" t="n"/>
    </row>
    <row r="263">
      <c r="A263" s="6" t="n"/>
      <c r="B263" s="6" t="n"/>
      <c r="C263" s="6" t="n"/>
      <c r="D263" s="6" t="n"/>
      <c r="E263" s="6" t="inlineStr"/>
      <c r="F263" s="6" t="inlineStr"/>
      <c r="G263" s="6" t="inlineStr"/>
      <c r="H263" s="6" t="inlineStr"/>
      <c r="I263" s="6" t="n"/>
      <c r="J263" s="6" t="n"/>
    </row>
    <row r="264">
      <c r="A264" s="6" t="n"/>
      <c r="B264" s="6" t="n"/>
      <c r="C264" s="6" t="n"/>
      <c r="D264" s="6" t="n"/>
      <c r="E264" s="6" t="inlineStr"/>
      <c r="F264" s="6" t="inlineStr"/>
      <c r="G264" s="6" t="inlineStr"/>
      <c r="H264" s="6" t="inlineStr"/>
      <c r="I264" s="6" t="n"/>
      <c r="J264" s="6" t="n"/>
    </row>
    <row r="265">
      <c r="A265" s="6" t="n"/>
      <c r="B265" s="6" t="n"/>
      <c r="C265" s="6" t="n"/>
      <c r="D265" s="6" t="n"/>
      <c r="E265" s="6" t="inlineStr"/>
      <c r="F265" s="6" t="inlineStr"/>
      <c r="G265" s="6" t="inlineStr"/>
      <c r="H265" s="6" t="inlineStr"/>
      <c r="I265" s="6" t="n"/>
      <c r="J265" s="6" t="n"/>
    </row>
    <row r="266">
      <c r="A266" s="6" t="n"/>
      <c r="B266" s="6" t="n"/>
      <c r="C266" s="6" t="n"/>
      <c r="D266" s="6" t="n"/>
      <c r="E266" s="6" t="inlineStr"/>
      <c r="F266" s="6" t="inlineStr"/>
      <c r="G266" s="6" t="inlineStr"/>
      <c r="H266" s="6" t="inlineStr"/>
      <c r="I266" s="6" t="n"/>
      <c r="J266" s="6" t="n"/>
    </row>
    <row r="267">
      <c r="A267" s="6" t="n"/>
      <c r="B267" s="6" t="n"/>
      <c r="C267" s="6" t="n"/>
      <c r="D267" s="6" t="n"/>
      <c r="E267" s="6" t="inlineStr"/>
      <c r="F267" s="6" t="inlineStr"/>
      <c r="G267" s="6" t="inlineStr"/>
      <c r="H267" s="6" t="inlineStr"/>
      <c r="I267" s="6" t="n"/>
      <c r="J267" s="6" t="n"/>
    </row>
    <row r="268">
      <c r="A268" s="6" t="n"/>
      <c r="B268" s="6" t="n"/>
      <c r="C268" s="6" t="n"/>
      <c r="D268" s="6" t="n"/>
      <c r="E268" s="6" t="inlineStr"/>
      <c r="F268" s="6" t="inlineStr"/>
      <c r="G268" s="6" t="inlineStr"/>
      <c r="H268" s="6" t="inlineStr"/>
      <c r="I268" s="6" t="n"/>
      <c r="J268" s="6" t="n"/>
    </row>
    <row r="269">
      <c r="A269" s="6" t="n"/>
      <c r="B269" s="6" t="n"/>
      <c r="C269" s="6" t="n"/>
      <c r="D269" s="6" t="n"/>
      <c r="E269" s="6" t="inlineStr"/>
      <c r="F269" s="6" t="inlineStr"/>
      <c r="G269" s="6" t="inlineStr"/>
      <c r="H269" s="6" t="inlineStr"/>
      <c r="I269" s="6" t="n"/>
      <c r="J269" s="6" t="n"/>
    </row>
    <row r="270">
      <c r="A270" s="6" t="n"/>
      <c r="B270" s="6" t="n"/>
      <c r="C270" s="6" t="n"/>
      <c r="D270" s="6" t="n"/>
      <c r="E270" s="6" t="inlineStr"/>
      <c r="F270" s="6" t="inlineStr"/>
      <c r="G270" s="6" t="inlineStr"/>
      <c r="H270" s="6" t="inlineStr"/>
      <c r="I270" s="6" t="n"/>
      <c r="J270" s="6" t="n"/>
    </row>
    <row r="271">
      <c r="A271" s="6" t="n"/>
      <c r="B271" s="6" t="n"/>
      <c r="C271" s="6" t="n"/>
      <c r="D271" s="6" t="n"/>
      <c r="E271" s="6" t="inlineStr"/>
      <c r="F271" s="6" t="inlineStr"/>
      <c r="G271" s="6" t="inlineStr"/>
      <c r="H271" s="6" t="inlineStr"/>
      <c r="I271" s="6" t="n"/>
      <c r="J271" s="6" t="n"/>
    </row>
    <row r="272">
      <c r="A272" s="6" t="n"/>
      <c r="B272" s="6" t="n"/>
      <c r="C272" s="6" t="n"/>
      <c r="D272" s="6" t="n"/>
      <c r="E272" s="6" t="inlineStr"/>
      <c r="F272" s="6" t="inlineStr"/>
      <c r="G272" s="6" t="inlineStr"/>
      <c r="H272" s="6" t="inlineStr"/>
      <c r="I272" s="6" t="n"/>
      <c r="J272" s="6" t="n"/>
    </row>
    <row r="273">
      <c r="A273" s="6" t="n"/>
      <c r="B273" s="6" t="n"/>
      <c r="C273" s="6" t="n"/>
      <c r="D273" s="6" t="n"/>
      <c r="E273" s="6" t="inlineStr"/>
      <c r="F273" s="6" t="inlineStr"/>
      <c r="G273" s="6" t="inlineStr"/>
      <c r="H273" s="6" t="inlineStr"/>
      <c r="I273" s="6" t="n"/>
      <c r="J273" s="6" t="n"/>
    </row>
    <row r="274">
      <c r="A274" s="6" t="n"/>
      <c r="B274" s="6" t="n"/>
      <c r="C274" s="6" t="n"/>
      <c r="D274" s="6" t="n"/>
      <c r="E274" s="6" t="inlineStr"/>
      <c r="F274" s="6" t="inlineStr"/>
      <c r="G274" s="6" t="inlineStr"/>
      <c r="H274" s="6" t="inlineStr"/>
      <c r="I274" s="6" t="n"/>
      <c r="J274" s="6" t="n"/>
    </row>
    <row r="275">
      <c r="A275" s="6" t="n"/>
      <c r="B275" s="6" t="n"/>
      <c r="C275" s="6" t="n"/>
      <c r="D275" s="6" t="n"/>
      <c r="E275" s="6" t="inlineStr"/>
      <c r="F275" s="6" t="inlineStr"/>
      <c r="G275" s="6" t="inlineStr"/>
      <c r="H275" s="6" t="inlineStr"/>
      <c r="I275" s="6" t="n"/>
      <c r="J275" s="6" t="n"/>
    </row>
    <row r="276">
      <c r="A276" s="6" t="n"/>
      <c r="B276" s="6" t="n"/>
      <c r="C276" s="6" t="n"/>
      <c r="D276" s="6" t="n"/>
      <c r="E276" s="6" t="inlineStr"/>
      <c r="F276" s="6" t="inlineStr"/>
      <c r="G276" s="6" t="inlineStr"/>
      <c r="H276" s="6" t="inlineStr"/>
      <c r="I276" s="6" t="n"/>
      <c r="J276" s="6" t="n"/>
    </row>
    <row r="277">
      <c r="A277" s="6" t="n"/>
      <c r="B277" s="6" t="n"/>
      <c r="C277" s="6" t="n"/>
      <c r="D277" s="6" t="n"/>
      <c r="E277" s="6" t="inlineStr"/>
      <c r="F277" s="6" t="inlineStr"/>
      <c r="G277" s="6" t="inlineStr"/>
      <c r="H277" s="6" t="inlineStr"/>
      <c r="I277" s="6" t="n"/>
      <c r="J277" s="6" t="n"/>
    </row>
    <row r="278">
      <c r="A278" s="6" t="n"/>
      <c r="B278" s="6" t="n"/>
      <c r="C278" s="6" t="n"/>
      <c r="D278" s="6" t="n"/>
      <c r="E278" s="6" t="inlineStr"/>
      <c r="F278" s="6" t="inlineStr"/>
      <c r="G278" s="6" t="inlineStr"/>
      <c r="H278" s="6" t="inlineStr"/>
      <c r="I278" s="6" t="n"/>
      <c r="J278" s="6" t="n"/>
    </row>
    <row r="279">
      <c r="A279" s="6" t="n"/>
      <c r="B279" s="6" t="n"/>
      <c r="C279" s="6" t="n"/>
      <c r="D279" s="6" t="n"/>
      <c r="E279" s="6" t="inlineStr"/>
      <c r="F279" s="6" t="inlineStr"/>
      <c r="G279" s="6" t="inlineStr"/>
      <c r="H279" s="6" t="inlineStr"/>
      <c r="I279" s="6" t="n"/>
      <c r="J279" s="6" t="n"/>
    </row>
    <row r="280">
      <c r="A280" s="6" t="n"/>
      <c r="B280" s="6" t="n"/>
      <c r="C280" s="6" t="n"/>
      <c r="D280" s="6" t="n"/>
      <c r="E280" s="6" t="inlineStr"/>
      <c r="F280" s="6" t="inlineStr"/>
      <c r="G280" s="6" t="inlineStr"/>
      <c r="H280" s="6" t="inlineStr"/>
      <c r="I280" s="6" t="n"/>
      <c r="J280" s="6" t="n"/>
    </row>
    <row r="281">
      <c r="A281" s="6" t="n"/>
      <c r="B281" s="6" t="n"/>
      <c r="C281" s="6" t="n"/>
      <c r="D281" s="6" t="n"/>
      <c r="E281" s="6" t="inlineStr"/>
      <c r="F281" s="6" t="inlineStr"/>
      <c r="G281" s="6" t="inlineStr"/>
      <c r="H281" s="6" t="inlineStr"/>
      <c r="I281" s="6" t="n"/>
      <c r="J281" s="6" t="n"/>
    </row>
    <row r="282">
      <c r="A282" s="6" t="n"/>
      <c r="B282" s="6" t="n"/>
      <c r="C282" s="6" t="n"/>
      <c r="D282" s="6" t="n"/>
      <c r="E282" s="6" t="inlineStr"/>
      <c r="F282" s="6" t="inlineStr"/>
      <c r="G282" s="6" t="inlineStr"/>
      <c r="H282" s="6" t="inlineStr"/>
      <c r="I282" s="6" t="n"/>
      <c r="J282" s="6" t="n"/>
    </row>
    <row r="283">
      <c r="A283" s="6" t="n"/>
      <c r="B283" s="6" t="n"/>
      <c r="C283" s="6" t="n"/>
      <c r="D283" s="6" t="n"/>
      <c r="E283" s="6" t="inlineStr"/>
      <c r="F283" s="6" t="inlineStr"/>
      <c r="G283" s="6" t="inlineStr"/>
      <c r="H283" s="6" t="inlineStr"/>
      <c r="I283" s="6" t="n"/>
      <c r="J283" s="6" t="n"/>
    </row>
    <row r="284">
      <c r="A284" s="6" t="n"/>
      <c r="B284" s="6" t="n"/>
      <c r="C284" s="6" t="n"/>
      <c r="D284" s="6" t="n"/>
      <c r="E284" s="6" t="inlineStr"/>
      <c r="F284" s="6" t="inlineStr"/>
      <c r="G284" s="6" t="inlineStr"/>
      <c r="H284" s="6" t="inlineStr"/>
      <c r="I284" s="6" t="n"/>
      <c r="J284" s="6" t="n"/>
    </row>
    <row r="285">
      <c r="A285" s="6" t="n"/>
      <c r="B285" s="6" t="n"/>
      <c r="C285" s="6" t="n"/>
      <c r="D285" s="6" t="n"/>
      <c r="E285" s="6" t="inlineStr"/>
      <c r="F285" s="6" t="inlineStr"/>
      <c r="G285" s="6" t="inlineStr"/>
      <c r="H285" s="6" t="inlineStr"/>
      <c r="I285" s="6" t="n"/>
      <c r="J285" s="6" t="n"/>
    </row>
    <row r="286">
      <c r="A286" s="6" t="n"/>
      <c r="B286" s="6" t="n"/>
      <c r="C286" s="6" t="n"/>
      <c r="D286" s="6" t="n"/>
      <c r="E286" s="6" t="inlineStr"/>
      <c r="F286" s="6" t="inlineStr"/>
      <c r="G286" s="6" t="inlineStr"/>
      <c r="H286" s="6" t="inlineStr"/>
      <c r="I286" s="6" t="n"/>
      <c r="J286" s="6" t="n"/>
    </row>
    <row r="287">
      <c r="A287" s="6" t="n"/>
      <c r="B287" s="6" t="n"/>
      <c r="C287" s="6" t="n"/>
      <c r="D287" s="6" t="n"/>
      <c r="E287" s="6" t="inlineStr"/>
      <c r="F287" s="6" t="inlineStr"/>
      <c r="G287" s="6" t="inlineStr"/>
      <c r="H287" s="6" t="inlineStr"/>
      <c r="I287" s="6" t="n"/>
      <c r="J287" s="6" t="n"/>
    </row>
    <row r="288">
      <c r="A288" s="6" t="n"/>
      <c r="B288" s="6" t="n"/>
      <c r="C288" s="6" t="n"/>
      <c r="D288" s="6" t="n"/>
      <c r="E288" s="6" t="inlineStr"/>
      <c r="F288" s="6" t="inlineStr"/>
      <c r="G288" s="6" t="inlineStr"/>
      <c r="H288" s="6" t="inlineStr"/>
      <c r="I288" s="6" t="n"/>
      <c r="J288" s="6" t="n"/>
    </row>
    <row r="289">
      <c r="A289" s="6" t="n"/>
      <c r="B289" s="6" t="n"/>
      <c r="C289" s="6" t="n"/>
      <c r="D289" s="6" t="n"/>
      <c r="E289" s="6" t="inlineStr"/>
      <c r="F289" s="6" t="inlineStr"/>
      <c r="G289" s="6" t="inlineStr"/>
      <c r="H289" s="6" t="inlineStr"/>
      <c r="I289" s="6" t="n"/>
      <c r="J289" s="6" t="n"/>
    </row>
    <row r="290">
      <c r="A290" s="6" t="n"/>
      <c r="B290" s="6" t="n"/>
      <c r="C290" s="6" t="n"/>
      <c r="D290" s="6" t="n"/>
      <c r="E290" s="6" t="inlineStr"/>
      <c r="F290" s="6" t="inlineStr"/>
      <c r="G290" s="6" t="inlineStr"/>
      <c r="H290" s="6" t="inlineStr"/>
      <c r="I290" s="6" t="n"/>
      <c r="J290" s="6" t="n"/>
    </row>
    <row r="291">
      <c r="A291" s="6" t="n"/>
      <c r="B291" s="6" t="n"/>
      <c r="C291" s="6" t="n"/>
      <c r="D291" s="6" t="n"/>
      <c r="E291" s="6" t="inlineStr"/>
      <c r="F291" s="6" t="inlineStr"/>
      <c r="G291" s="6" t="inlineStr"/>
      <c r="H291" s="6" t="inlineStr"/>
      <c r="I291" s="6" t="n"/>
      <c r="J291" s="6" t="n"/>
    </row>
    <row r="292">
      <c r="A292" s="6" t="n"/>
      <c r="B292" s="6" t="n"/>
      <c r="C292" s="6" t="n"/>
      <c r="D292" s="6" t="n"/>
      <c r="E292" s="6" t="inlineStr"/>
      <c r="F292" s="6" t="inlineStr"/>
      <c r="G292" s="6" t="inlineStr"/>
      <c r="H292" s="6" t="inlineStr"/>
      <c r="I292" s="6" t="n"/>
      <c r="J292" s="6" t="n"/>
    </row>
    <row r="293">
      <c r="A293" s="6" t="n"/>
      <c r="B293" s="6" t="n"/>
      <c r="C293" s="6" t="n"/>
      <c r="D293" s="6" t="n"/>
      <c r="E293" s="6" t="inlineStr"/>
      <c r="F293" s="6" t="inlineStr"/>
      <c r="G293" s="6" t="inlineStr"/>
      <c r="H293" s="6" t="inlineStr"/>
      <c r="I293" s="6" t="n"/>
      <c r="J293" s="6" t="n"/>
    </row>
    <row r="294">
      <c r="A294" s="6" t="n"/>
      <c r="B294" s="6" t="n"/>
      <c r="C294" s="6" t="n"/>
      <c r="D294" s="6" t="n"/>
      <c r="E294" s="6" t="inlineStr"/>
      <c r="F294" s="6" t="inlineStr"/>
      <c r="G294" s="6" t="inlineStr"/>
      <c r="H294" s="6" t="inlineStr"/>
      <c r="I294" s="6" t="n"/>
      <c r="J294" s="6" t="n"/>
    </row>
    <row r="295">
      <c r="A295" s="6" t="n"/>
      <c r="B295" s="6" t="n"/>
      <c r="C295" s="6" t="n"/>
      <c r="D295" s="6" t="n"/>
      <c r="E295" s="6" t="inlineStr"/>
      <c r="F295" s="6" t="inlineStr"/>
      <c r="G295" s="6" t="inlineStr"/>
      <c r="H295" s="6" t="inlineStr"/>
      <c r="I295" s="6" t="n"/>
      <c r="J295" s="6" t="n"/>
    </row>
    <row r="296">
      <c r="A296" s="6" t="n"/>
      <c r="B296" s="6" t="n"/>
      <c r="C296" s="6" t="n"/>
      <c r="D296" s="6" t="n"/>
      <c r="E296" s="6" t="inlineStr"/>
      <c r="F296" s="6" t="inlineStr"/>
      <c r="G296" s="6" t="inlineStr"/>
      <c r="H296" s="6" t="inlineStr"/>
      <c r="I296" s="6" t="n"/>
      <c r="J296" s="6" t="n"/>
    </row>
    <row r="297">
      <c r="A297" s="6" t="n"/>
      <c r="B297" s="6" t="n"/>
      <c r="C297" s="6" t="n"/>
      <c r="D297" s="6" t="n"/>
      <c r="E297" s="6" t="inlineStr"/>
      <c r="F297" s="6" t="inlineStr"/>
      <c r="G297" s="6" t="inlineStr"/>
      <c r="H297" s="6" t="inlineStr"/>
      <c r="I297" s="6" t="n"/>
      <c r="J297" s="6" t="n"/>
    </row>
    <row r="298">
      <c r="A298" s="6" t="n"/>
      <c r="B298" s="6" t="n"/>
      <c r="C298" s="6" t="n"/>
      <c r="D298" s="6" t="n"/>
      <c r="E298" s="6" t="inlineStr"/>
      <c r="F298" s="6" t="inlineStr"/>
      <c r="G298" s="6" t="inlineStr"/>
      <c r="H298" s="6" t="inlineStr"/>
      <c r="I298" s="6" t="n"/>
      <c r="J298" s="6" t="n"/>
    </row>
    <row r="299">
      <c r="A299" s="6" t="n"/>
      <c r="B299" s="6" t="n"/>
      <c r="C299" s="6" t="n"/>
      <c r="D299" s="6" t="n"/>
      <c r="E299" s="6" t="inlineStr"/>
      <c r="F299" s="6" t="inlineStr"/>
      <c r="G299" s="6" t="inlineStr"/>
      <c r="H299" s="6" t="inlineStr"/>
      <c r="I299" s="6" t="n"/>
      <c r="J299" s="6" t="n"/>
    </row>
    <row r="300">
      <c r="A300" s="6" t="n"/>
      <c r="B300" s="6" t="n"/>
      <c r="C300" s="6" t="n"/>
      <c r="D300" s="6" t="n"/>
      <c r="E300" s="6" t="inlineStr"/>
      <c r="F300" s="6" t="inlineStr"/>
      <c r="G300" s="6" t="inlineStr"/>
      <c r="H300" s="6" t="inlineStr"/>
      <c r="I300" s="6" t="n"/>
      <c r="J300" s="6" t="n"/>
    </row>
  </sheetData>
  <conditionalFormatting sqref="E2:H300">
    <cfRule type="cellIs" priority="1" operator="equal" dxfId="2">
      <formula>"x"</formula>
    </cfRule>
  </conditionalFormatting>
  <dataValidations count="1">
    <dataValidation sqref="E2:H300" showDropDown="0" showInputMessage="0" showErrorMessage="0" allowBlank="1" type="list">
      <formula1>=Lists!$D$2:$D$3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42" customWidth="1" min="4" max="4"/>
    <col width="34" customWidth="1" min="5" max="5"/>
    <col width="14" customWidth="1" min="6" max="6"/>
    <col width="12" customWidth="1" min="7" max="7"/>
    <col width="28" customWidth="1" min="8" max="8"/>
  </cols>
  <sheetData>
    <row r="1" ht="26" customHeight="1">
      <c r="A1" s="10" t="inlineStr">
        <is>
          <t>Dato</t>
        </is>
      </c>
      <c r="B1" s="10" t="inlineStr">
        <is>
          <t>Hvem</t>
        </is>
      </c>
      <c r="C1" s="10" t="inlineStr">
        <is>
          <t>Tema</t>
        </is>
      </c>
      <c r="D1" s="10" t="inlineStr">
        <is>
          <t>Beslutninger / tilbakemelding</t>
        </is>
      </c>
      <c r="E1" s="10" t="inlineStr">
        <is>
          <t>Action items</t>
        </is>
      </c>
      <c r="F1" s="10" t="inlineStr">
        <is>
          <t>Frist</t>
        </is>
      </c>
      <c r="G1" s="10" t="inlineStr">
        <is>
          <t>Ferdig (x)</t>
        </is>
      </c>
      <c r="H1" s="10" t="inlineStr">
        <is>
          <t>Notater</t>
        </is>
      </c>
    </row>
    <row r="2" ht="28" customHeight="1">
      <c r="A2" s="7" t="inlineStr"/>
      <c r="B2" s="6" t="n"/>
      <c r="C2" s="6" t="n"/>
      <c r="D2" s="6" t="n"/>
      <c r="E2" s="6" t="n"/>
      <c r="F2" s="7" t="inlineStr"/>
      <c r="G2" s="6" t="inlineStr"/>
      <c r="H2" s="6" t="n"/>
    </row>
    <row r="3" ht="28" customHeight="1">
      <c r="A3" s="7" t="inlineStr"/>
      <c r="B3" s="6" t="n"/>
      <c r="C3" s="6" t="n"/>
      <c r="D3" s="6" t="n"/>
      <c r="E3" s="6" t="n"/>
      <c r="F3" s="7" t="inlineStr"/>
      <c r="G3" s="6" t="inlineStr"/>
      <c r="H3" s="6" t="n"/>
    </row>
    <row r="4" ht="28" customHeight="1">
      <c r="A4" s="7" t="inlineStr"/>
      <c r="B4" s="6" t="n"/>
      <c r="C4" s="6" t="n"/>
      <c r="D4" s="6" t="n"/>
      <c r="E4" s="6" t="n"/>
      <c r="F4" s="7" t="inlineStr"/>
      <c r="G4" s="6" t="inlineStr"/>
      <c r="H4" s="6" t="n"/>
    </row>
    <row r="5" ht="28" customHeight="1">
      <c r="A5" s="7" t="inlineStr"/>
      <c r="B5" s="6" t="n"/>
      <c r="C5" s="6" t="n"/>
      <c r="D5" s="6" t="n"/>
      <c r="E5" s="6" t="n"/>
      <c r="F5" s="7" t="inlineStr"/>
      <c r="G5" s="6" t="inlineStr"/>
      <c r="H5" s="6" t="n"/>
    </row>
    <row r="6" ht="28" customHeight="1">
      <c r="A6" s="7" t="inlineStr"/>
      <c r="B6" s="6" t="n"/>
      <c r="C6" s="6" t="n"/>
      <c r="D6" s="6" t="n"/>
      <c r="E6" s="6" t="n"/>
      <c r="F6" s="7" t="inlineStr"/>
      <c r="G6" s="6" t="inlineStr"/>
      <c r="H6" s="6" t="n"/>
    </row>
    <row r="7" ht="28" customHeight="1">
      <c r="A7" s="7" t="inlineStr"/>
      <c r="B7" s="6" t="n"/>
      <c r="C7" s="6" t="n"/>
      <c r="D7" s="6" t="n"/>
      <c r="E7" s="6" t="n"/>
      <c r="F7" s="7" t="inlineStr"/>
      <c r="G7" s="6" t="inlineStr"/>
      <c r="H7" s="6" t="n"/>
    </row>
    <row r="8" ht="28" customHeight="1">
      <c r="A8" s="7" t="inlineStr"/>
      <c r="B8" s="6" t="n"/>
      <c r="C8" s="6" t="n"/>
      <c r="D8" s="6" t="n"/>
      <c r="E8" s="6" t="n"/>
      <c r="F8" s="7" t="inlineStr"/>
      <c r="G8" s="6" t="inlineStr"/>
      <c r="H8" s="6" t="n"/>
    </row>
    <row r="9" ht="28" customHeight="1">
      <c r="A9" s="7" t="inlineStr"/>
      <c r="B9" s="6" t="n"/>
      <c r="C9" s="6" t="n"/>
      <c r="D9" s="6" t="n"/>
      <c r="E9" s="6" t="n"/>
      <c r="F9" s="7" t="inlineStr"/>
      <c r="G9" s="6" t="inlineStr"/>
      <c r="H9" s="6" t="n"/>
    </row>
    <row r="10" ht="28" customHeight="1">
      <c r="A10" s="7" t="inlineStr"/>
      <c r="B10" s="6" t="n"/>
      <c r="C10" s="6" t="n"/>
      <c r="D10" s="6" t="n"/>
      <c r="E10" s="6" t="n"/>
      <c r="F10" s="7" t="inlineStr"/>
      <c r="G10" s="6" t="inlineStr"/>
      <c r="H10" s="6" t="n"/>
    </row>
    <row r="11" ht="28" customHeight="1">
      <c r="A11" s="7" t="inlineStr"/>
      <c r="B11" s="6" t="n"/>
      <c r="C11" s="6" t="n"/>
      <c r="D11" s="6" t="n"/>
      <c r="E11" s="6" t="n"/>
      <c r="F11" s="7" t="inlineStr"/>
      <c r="G11" s="6" t="inlineStr"/>
      <c r="H11" s="6" t="n"/>
    </row>
    <row r="12" ht="28" customHeight="1">
      <c r="A12" s="7" t="inlineStr"/>
      <c r="B12" s="6" t="n"/>
      <c r="C12" s="6" t="n"/>
      <c r="D12" s="6" t="n"/>
      <c r="E12" s="6" t="n"/>
      <c r="F12" s="7" t="inlineStr"/>
      <c r="G12" s="6" t="inlineStr"/>
      <c r="H12" s="6" t="n"/>
    </row>
    <row r="13" ht="28" customHeight="1">
      <c r="A13" s="7" t="inlineStr"/>
      <c r="B13" s="6" t="n"/>
      <c r="C13" s="6" t="n"/>
      <c r="D13" s="6" t="n"/>
      <c r="E13" s="6" t="n"/>
      <c r="F13" s="7" t="inlineStr"/>
      <c r="G13" s="6" t="inlineStr"/>
      <c r="H13" s="6" t="n"/>
    </row>
    <row r="14" ht="28" customHeight="1">
      <c r="A14" s="7" t="inlineStr"/>
      <c r="B14" s="6" t="n"/>
      <c r="C14" s="6" t="n"/>
      <c r="D14" s="6" t="n"/>
      <c r="E14" s="6" t="n"/>
      <c r="F14" s="7" t="inlineStr"/>
      <c r="G14" s="6" t="inlineStr"/>
      <c r="H14" s="6" t="n"/>
    </row>
    <row r="15" ht="28" customHeight="1">
      <c r="A15" s="7" t="inlineStr"/>
      <c r="B15" s="6" t="n"/>
      <c r="C15" s="6" t="n"/>
      <c r="D15" s="6" t="n"/>
      <c r="E15" s="6" t="n"/>
      <c r="F15" s="7" t="inlineStr"/>
      <c r="G15" s="6" t="inlineStr"/>
      <c r="H15" s="6" t="n"/>
    </row>
    <row r="16" ht="28" customHeight="1">
      <c r="A16" s="7" t="inlineStr"/>
      <c r="B16" s="6" t="n"/>
      <c r="C16" s="6" t="n"/>
      <c r="D16" s="6" t="n"/>
      <c r="E16" s="6" t="n"/>
      <c r="F16" s="7" t="inlineStr"/>
      <c r="G16" s="6" t="inlineStr"/>
      <c r="H16" s="6" t="n"/>
    </row>
    <row r="17" ht="28" customHeight="1">
      <c r="A17" s="7" t="inlineStr"/>
      <c r="B17" s="6" t="n"/>
      <c r="C17" s="6" t="n"/>
      <c r="D17" s="6" t="n"/>
      <c r="E17" s="6" t="n"/>
      <c r="F17" s="7" t="inlineStr"/>
      <c r="G17" s="6" t="inlineStr"/>
      <c r="H17" s="6" t="n"/>
    </row>
    <row r="18" ht="28" customHeight="1">
      <c r="A18" s="7" t="inlineStr"/>
      <c r="B18" s="6" t="n"/>
      <c r="C18" s="6" t="n"/>
      <c r="D18" s="6" t="n"/>
      <c r="E18" s="6" t="n"/>
      <c r="F18" s="7" t="inlineStr"/>
      <c r="G18" s="6" t="inlineStr"/>
      <c r="H18" s="6" t="n"/>
    </row>
    <row r="19" ht="28" customHeight="1">
      <c r="A19" s="7" t="inlineStr"/>
      <c r="B19" s="6" t="n"/>
      <c r="C19" s="6" t="n"/>
      <c r="D19" s="6" t="n"/>
      <c r="E19" s="6" t="n"/>
      <c r="F19" s="7" t="inlineStr"/>
      <c r="G19" s="6" t="inlineStr"/>
      <c r="H19" s="6" t="n"/>
    </row>
    <row r="20" ht="28" customHeight="1">
      <c r="A20" s="7" t="inlineStr"/>
      <c r="B20" s="6" t="n"/>
      <c r="C20" s="6" t="n"/>
      <c r="D20" s="6" t="n"/>
      <c r="E20" s="6" t="n"/>
      <c r="F20" s="7" t="inlineStr"/>
      <c r="G20" s="6" t="inlineStr"/>
      <c r="H20" s="6" t="n"/>
    </row>
    <row r="21" ht="28" customHeight="1">
      <c r="A21" s="7" t="inlineStr"/>
      <c r="B21" s="6" t="n"/>
      <c r="C21" s="6" t="n"/>
      <c r="D21" s="6" t="n"/>
      <c r="E21" s="6" t="n"/>
      <c r="F21" s="7" t="inlineStr"/>
      <c r="G21" s="6" t="inlineStr"/>
      <c r="H21" s="6" t="n"/>
    </row>
    <row r="22" ht="28" customHeight="1">
      <c r="A22" s="7" t="inlineStr"/>
      <c r="B22" s="6" t="n"/>
      <c r="C22" s="6" t="n"/>
      <c r="D22" s="6" t="n"/>
      <c r="E22" s="6" t="n"/>
      <c r="F22" s="7" t="inlineStr"/>
      <c r="G22" s="6" t="inlineStr"/>
      <c r="H22" s="6" t="n"/>
    </row>
    <row r="23" ht="28" customHeight="1">
      <c r="A23" s="7" t="inlineStr"/>
      <c r="B23" s="6" t="n"/>
      <c r="C23" s="6" t="n"/>
      <c r="D23" s="6" t="n"/>
      <c r="E23" s="6" t="n"/>
      <c r="F23" s="7" t="inlineStr"/>
      <c r="G23" s="6" t="inlineStr"/>
      <c r="H23" s="6" t="n"/>
    </row>
    <row r="24" ht="28" customHeight="1">
      <c r="A24" s="7" t="inlineStr"/>
      <c r="B24" s="6" t="n"/>
      <c r="C24" s="6" t="n"/>
      <c r="D24" s="6" t="n"/>
      <c r="E24" s="6" t="n"/>
      <c r="F24" s="7" t="inlineStr"/>
      <c r="G24" s="6" t="inlineStr"/>
      <c r="H24" s="6" t="n"/>
    </row>
    <row r="25" ht="28" customHeight="1">
      <c r="A25" s="7" t="inlineStr"/>
      <c r="B25" s="6" t="n"/>
      <c r="C25" s="6" t="n"/>
      <c r="D25" s="6" t="n"/>
      <c r="E25" s="6" t="n"/>
      <c r="F25" s="7" t="inlineStr"/>
      <c r="G25" s="6" t="inlineStr"/>
      <c r="H25" s="6" t="n"/>
    </row>
    <row r="26" ht="28" customHeight="1">
      <c r="A26" s="7" t="inlineStr"/>
      <c r="B26" s="6" t="n"/>
      <c r="C26" s="6" t="n"/>
      <c r="D26" s="6" t="n"/>
      <c r="E26" s="6" t="n"/>
      <c r="F26" s="7" t="inlineStr"/>
      <c r="G26" s="6" t="inlineStr"/>
      <c r="H26" s="6" t="n"/>
    </row>
    <row r="27" ht="28" customHeight="1">
      <c r="A27" s="7" t="inlineStr"/>
      <c r="B27" s="6" t="n"/>
      <c r="C27" s="6" t="n"/>
      <c r="D27" s="6" t="n"/>
      <c r="E27" s="6" t="n"/>
      <c r="F27" s="7" t="inlineStr"/>
      <c r="G27" s="6" t="inlineStr"/>
      <c r="H27" s="6" t="n"/>
    </row>
    <row r="28" ht="28" customHeight="1">
      <c r="A28" s="7" t="inlineStr"/>
      <c r="B28" s="6" t="n"/>
      <c r="C28" s="6" t="n"/>
      <c r="D28" s="6" t="n"/>
      <c r="E28" s="6" t="n"/>
      <c r="F28" s="7" t="inlineStr"/>
      <c r="G28" s="6" t="inlineStr"/>
      <c r="H28" s="6" t="n"/>
    </row>
    <row r="29" ht="28" customHeight="1">
      <c r="A29" s="7" t="inlineStr"/>
      <c r="B29" s="6" t="n"/>
      <c r="C29" s="6" t="n"/>
      <c r="D29" s="6" t="n"/>
      <c r="E29" s="6" t="n"/>
      <c r="F29" s="7" t="inlineStr"/>
      <c r="G29" s="6" t="inlineStr"/>
      <c r="H29" s="6" t="n"/>
    </row>
    <row r="30" ht="28" customHeight="1">
      <c r="A30" s="7" t="inlineStr"/>
      <c r="B30" s="6" t="n"/>
      <c r="C30" s="6" t="n"/>
      <c r="D30" s="6" t="n"/>
      <c r="E30" s="6" t="n"/>
      <c r="F30" s="7" t="inlineStr"/>
      <c r="G30" s="6" t="inlineStr"/>
      <c r="H30" s="6" t="n"/>
    </row>
    <row r="31" ht="28" customHeight="1">
      <c r="A31" s="7" t="inlineStr"/>
      <c r="B31" s="6" t="n"/>
      <c r="C31" s="6" t="n"/>
      <c r="D31" s="6" t="n"/>
      <c r="E31" s="6" t="n"/>
      <c r="F31" s="7" t="inlineStr"/>
      <c r="G31" s="6" t="inlineStr"/>
      <c r="H31" s="6" t="n"/>
    </row>
    <row r="32" ht="28" customHeight="1">
      <c r="A32" s="7" t="inlineStr"/>
      <c r="B32" s="6" t="n"/>
      <c r="C32" s="6" t="n"/>
      <c r="D32" s="6" t="n"/>
      <c r="E32" s="6" t="n"/>
      <c r="F32" s="7" t="inlineStr"/>
      <c r="G32" s="6" t="inlineStr"/>
      <c r="H32" s="6" t="n"/>
    </row>
    <row r="33" ht="28" customHeight="1">
      <c r="A33" s="7" t="inlineStr"/>
      <c r="B33" s="6" t="n"/>
      <c r="C33" s="6" t="n"/>
      <c r="D33" s="6" t="n"/>
      <c r="E33" s="6" t="n"/>
      <c r="F33" s="7" t="inlineStr"/>
      <c r="G33" s="6" t="inlineStr"/>
      <c r="H33" s="6" t="n"/>
    </row>
    <row r="34" ht="28" customHeight="1">
      <c r="A34" s="7" t="inlineStr"/>
      <c r="B34" s="6" t="n"/>
      <c r="C34" s="6" t="n"/>
      <c r="D34" s="6" t="n"/>
      <c r="E34" s="6" t="n"/>
      <c r="F34" s="7" t="inlineStr"/>
      <c r="G34" s="6" t="inlineStr"/>
      <c r="H34" s="6" t="n"/>
    </row>
    <row r="35" ht="28" customHeight="1">
      <c r="A35" s="7" t="inlineStr"/>
      <c r="B35" s="6" t="n"/>
      <c r="C35" s="6" t="n"/>
      <c r="D35" s="6" t="n"/>
      <c r="E35" s="6" t="n"/>
      <c r="F35" s="7" t="inlineStr"/>
      <c r="G35" s="6" t="inlineStr"/>
      <c r="H35" s="6" t="n"/>
    </row>
    <row r="36" ht="28" customHeight="1">
      <c r="A36" s="7" t="inlineStr"/>
      <c r="B36" s="6" t="n"/>
      <c r="C36" s="6" t="n"/>
      <c r="D36" s="6" t="n"/>
      <c r="E36" s="6" t="n"/>
      <c r="F36" s="7" t="inlineStr"/>
      <c r="G36" s="6" t="inlineStr"/>
      <c r="H36" s="6" t="n"/>
    </row>
    <row r="37" ht="28" customHeight="1">
      <c r="A37" s="7" t="inlineStr"/>
      <c r="B37" s="6" t="n"/>
      <c r="C37" s="6" t="n"/>
      <c r="D37" s="6" t="n"/>
      <c r="E37" s="6" t="n"/>
      <c r="F37" s="7" t="inlineStr"/>
      <c r="G37" s="6" t="inlineStr"/>
      <c r="H37" s="6" t="n"/>
    </row>
    <row r="38" ht="28" customHeight="1">
      <c r="A38" s="7" t="inlineStr"/>
      <c r="B38" s="6" t="n"/>
      <c r="C38" s="6" t="n"/>
      <c r="D38" s="6" t="n"/>
      <c r="E38" s="6" t="n"/>
      <c r="F38" s="7" t="inlineStr"/>
      <c r="G38" s="6" t="inlineStr"/>
      <c r="H38" s="6" t="n"/>
    </row>
    <row r="39" ht="28" customHeight="1">
      <c r="A39" s="7" t="inlineStr"/>
      <c r="B39" s="6" t="n"/>
      <c r="C39" s="6" t="n"/>
      <c r="D39" s="6" t="n"/>
      <c r="E39" s="6" t="n"/>
      <c r="F39" s="7" t="inlineStr"/>
      <c r="G39" s="6" t="inlineStr"/>
      <c r="H39" s="6" t="n"/>
    </row>
    <row r="40" ht="28" customHeight="1">
      <c r="A40" s="7" t="inlineStr"/>
      <c r="B40" s="6" t="n"/>
      <c r="C40" s="6" t="n"/>
      <c r="D40" s="6" t="n"/>
      <c r="E40" s="6" t="n"/>
      <c r="F40" s="7" t="inlineStr"/>
      <c r="G40" s="6" t="inlineStr"/>
      <c r="H40" s="6" t="n"/>
    </row>
    <row r="41" ht="28" customHeight="1">
      <c r="A41" s="7" t="inlineStr"/>
      <c r="B41" s="6" t="n"/>
      <c r="C41" s="6" t="n"/>
      <c r="D41" s="6" t="n"/>
      <c r="E41" s="6" t="n"/>
      <c r="F41" s="7" t="inlineStr"/>
      <c r="G41" s="6" t="inlineStr"/>
      <c r="H41" s="6" t="n"/>
    </row>
    <row r="42" ht="28" customHeight="1">
      <c r="A42" s="7" t="inlineStr"/>
      <c r="B42" s="6" t="n"/>
      <c r="C42" s="6" t="n"/>
      <c r="D42" s="6" t="n"/>
      <c r="E42" s="6" t="n"/>
      <c r="F42" s="7" t="inlineStr"/>
      <c r="G42" s="6" t="inlineStr"/>
      <c r="H42" s="6" t="n"/>
    </row>
    <row r="43" ht="28" customHeight="1">
      <c r="A43" s="7" t="inlineStr"/>
      <c r="B43" s="6" t="n"/>
      <c r="C43" s="6" t="n"/>
      <c r="D43" s="6" t="n"/>
      <c r="E43" s="6" t="n"/>
      <c r="F43" s="7" t="inlineStr"/>
      <c r="G43" s="6" t="inlineStr"/>
      <c r="H43" s="6" t="n"/>
    </row>
    <row r="44" ht="28" customHeight="1">
      <c r="A44" s="7" t="inlineStr"/>
      <c r="B44" s="6" t="n"/>
      <c r="C44" s="6" t="n"/>
      <c r="D44" s="6" t="n"/>
      <c r="E44" s="6" t="n"/>
      <c r="F44" s="7" t="inlineStr"/>
      <c r="G44" s="6" t="inlineStr"/>
      <c r="H44" s="6" t="n"/>
    </row>
    <row r="45" ht="28" customHeight="1">
      <c r="A45" s="7" t="inlineStr"/>
      <c r="B45" s="6" t="n"/>
      <c r="C45" s="6" t="n"/>
      <c r="D45" s="6" t="n"/>
      <c r="E45" s="6" t="n"/>
      <c r="F45" s="7" t="inlineStr"/>
      <c r="G45" s="6" t="inlineStr"/>
      <c r="H45" s="6" t="n"/>
    </row>
    <row r="46" ht="28" customHeight="1">
      <c r="A46" s="7" t="inlineStr"/>
      <c r="B46" s="6" t="n"/>
      <c r="C46" s="6" t="n"/>
      <c r="D46" s="6" t="n"/>
      <c r="E46" s="6" t="n"/>
      <c r="F46" s="7" t="inlineStr"/>
      <c r="G46" s="6" t="inlineStr"/>
      <c r="H46" s="6" t="n"/>
    </row>
    <row r="47" ht="28" customHeight="1">
      <c r="A47" s="7" t="inlineStr"/>
      <c r="B47" s="6" t="n"/>
      <c r="C47" s="6" t="n"/>
      <c r="D47" s="6" t="n"/>
      <c r="E47" s="6" t="n"/>
      <c r="F47" s="7" t="inlineStr"/>
      <c r="G47" s="6" t="inlineStr"/>
      <c r="H47" s="6" t="n"/>
    </row>
    <row r="48" ht="28" customHeight="1">
      <c r="A48" s="7" t="inlineStr"/>
      <c r="B48" s="6" t="n"/>
      <c r="C48" s="6" t="n"/>
      <c r="D48" s="6" t="n"/>
      <c r="E48" s="6" t="n"/>
      <c r="F48" s="7" t="inlineStr"/>
      <c r="G48" s="6" t="inlineStr"/>
      <c r="H48" s="6" t="n"/>
    </row>
    <row r="49" ht="28" customHeight="1">
      <c r="A49" s="7" t="inlineStr"/>
      <c r="B49" s="6" t="n"/>
      <c r="C49" s="6" t="n"/>
      <c r="D49" s="6" t="n"/>
      <c r="E49" s="6" t="n"/>
      <c r="F49" s="7" t="inlineStr"/>
      <c r="G49" s="6" t="inlineStr"/>
      <c r="H49" s="6" t="n"/>
    </row>
    <row r="50" ht="28" customHeight="1">
      <c r="A50" s="7" t="inlineStr"/>
      <c r="B50" s="6" t="n"/>
      <c r="C50" s="6" t="n"/>
      <c r="D50" s="6" t="n"/>
      <c r="E50" s="6" t="n"/>
      <c r="F50" s="7" t="inlineStr"/>
      <c r="G50" s="6" t="inlineStr"/>
      <c r="H50" s="6" t="n"/>
    </row>
    <row r="51" ht="28" customHeight="1">
      <c r="A51" s="7" t="inlineStr"/>
      <c r="B51" s="6" t="n"/>
      <c r="C51" s="6" t="n"/>
      <c r="D51" s="6" t="n"/>
      <c r="E51" s="6" t="n"/>
      <c r="F51" s="7" t="inlineStr"/>
      <c r="G51" s="6" t="inlineStr"/>
      <c r="H51" s="6" t="n"/>
    </row>
    <row r="52" ht="28" customHeight="1">
      <c r="A52" s="7" t="inlineStr"/>
      <c r="B52" s="6" t="n"/>
      <c r="C52" s="6" t="n"/>
      <c r="D52" s="6" t="n"/>
      <c r="E52" s="6" t="n"/>
      <c r="F52" s="7" t="inlineStr"/>
      <c r="G52" s="6" t="inlineStr"/>
      <c r="H52" s="6" t="n"/>
    </row>
    <row r="53" ht="28" customHeight="1">
      <c r="A53" s="7" t="inlineStr"/>
      <c r="B53" s="6" t="n"/>
      <c r="C53" s="6" t="n"/>
      <c r="D53" s="6" t="n"/>
      <c r="E53" s="6" t="n"/>
      <c r="F53" s="7" t="inlineStr"/>
      <c r="G53" s="6" t="inlineStr"/>
      <c r="H53" s="6" t="n"/>
    </row>
    <row r="54" ht="28" customHeight="1">
      <c r="A54" s="7" t="inlineStr"/>
      <c r="B54" s="6" t="n"/>
      <c r="C54" s="6" t="n"/>
      <c r="D54" s="6" t="n"/>
      <c r="E54" s="6" t="n"/>
      <c r="F54" s="7" t="inlineStr"/>
      <c r="G54" s="6" t="inlineStr"/>
      <c r="H54" s="6" t="n"/>
    </row>
    <row r="55" ht="28" customHeight="1">
      <c r="A55" s="7" t="inlineStr"/>
      <c r="B55" s="6" t="n"/>
      <c r="C55" s="6" t="n"/>
      <c r="D55" s="6" t="n"/>
      <c r="E55" s="6" t="n"/>
      <c r="F55" s="7" t="inlineStr"/>
      <c r="G55" s="6" t="inlineStr"/>
      <c r="H55" s="6" t="n"/>
    </row>
    <row r="56" ht="28" customHeight="1">
      <c r="A56" s="7" t="inlineStr"/>
      <c r="B56" s="6" t="n"/>
      <c r="C56" s="6" t="n"/>
      <c r="D56" s="6" t="n"/>
      <c r="E56" s="6" t="n"/>
      <c r="F56" s="7" t="inlineStr"/>
      <c r="G56" s="6" t="inlineStr"/>
      <c r="H56" s="6" t="n"/>
    </row>
    <row r="57" ht="28" customHeight="1">
      <c r="A57" s="7" t="inlineStr"/>
      <c r="B57" s="6" t="n"/>
      <c r="C57" s="6" t="n"/>
      <c r="D57" s="6" t="n"/>
      <c r="E57" s="6" t="n"/>
      <c r="F57" s="7" t="inlineStr"/>
      <c r="G57" s="6" t="inlineStr"/>
      <c r="H57" s="6" t="n"/>
    </row>
    <row r="58" ht="28" customHeight="1">
      <c r="A58" s="7" t="inlineStr"/>
      <c r="B58" s="6" t="n"/>
      <c r="C58" s="6" t="n"/>
      <c r="D58" s="6" t="n"/>
      <c r="E58" s="6" t="n"/>
      <c r="F58" s="7" t="inlineStr"/>
      <c r="G58" s="6" t="inlineStr"/>
      <c r="H58" s="6" t="n"/>
    </row>
    <row r="59" ht="28" customHeight="1">
      <c r="A59" s="7" t="inlineStr"/>
      <c r="B59" s="6" t="n"/>
      <c r="C59" s="6" t="n"/>
      <c r="D59" s="6" t="n"/>
      <c r="E59" s="6" t="n"/>
      <c r="F59" s="7" t="inlineStr"/>
      <c r="G59" s="6" t="inlineStr"/>
      <c r="H59" s="6" t="n"/>
    </row>
    <row r="60" ht="28" customHeight="1">
      <c r="A60" s="7" t="inlineStr"/>
      <c r="B60" s="6" t="n"/>
      <c r="C60" s="6" t="n"/>
      <c r="D60" s="6" t="n"/>
      <c r="E60" s="6" t="n"/>
      <c r="F60" s="7" t="inlineStr"/>
      <c r="G60" s="6" t="inlineStr"/>
      <c r="H60" s="6" t="n"/>
    </row>
    <row r="61" ht="28" customHeight="1">
      <c r="A61" s="7" t="inlineStr"/>
      <c r="B61" s="6" t="n"/>
      <c r="C61" s="6" t="n"/>
      <c r="D61" s="6" t="n"/>
      <c r="E61" s="6" t="n"/>
      <c r="F61" s="7" t="inlineStr"/>
      <c r="G61" s="6" t="inlineStr"/>
      <c r="H61" s="6" t="n"/>
    </row>
    <row r="62" ht="28" customHeight="1">
      <c r="A62" s="7" t="inlineStr"/>
      <c r="B62" s="6" t="n"/>
      <c r="C62" s="6" t="n"/>
      <c r="D62" s="6" t="n"/>
      <c r="E62" s="6" t="n"/>
      <c r="F62" s="7" t="inlineStr"/>
      <c r="G62" s="6" t="inlineStr"/>
      <c r="H62" s="6" t="n"/>
    </row>
    <row r="63" ht="28" customHeight="1">
      <c r="A63" s="7" t="inlineStr"/>
      <c r="B63" s="6" t="n"/>
      <c r="C63" s="6" t="n"/>
      <c r="D63" s="6" t="n"/>
      <c r="E63" s="6" t="n"/>
      <c r="F63" s="7" t="inlineStr"/>
      <c r="G63" s="6" t="inlineStr"/>
      <c r="H63" s="6" t="n"/>
    </row>
    <row r="64" ht="28" customHeight="1">
      <c r="A64" s="7" t="inlineStr"/>
      <c r="B64" s="6" t="n"/>
      <c r="C64" s="6" t="n"/>
      <c r="D64" s="6" t="n"/>
      <c r="E64" s="6" t="n"/>
      <c r="F64" s="7" t="inlineStr"/>
      <c r="G64" s="6" t="inlineStr"/>
      <c r="H64" s="6" t="n"/>
    </row>
    <row r="65" ht="28" customHeight="1">
      <c r="A65" s="7" t="inlineStr"/>
      <c r="B65" s="6" t="n"/>
      <c r="C65" s="6" t="n"/>
      <c r="D65" s="6" t="n"/>
      <c r="E65" s="6" t="n"/>
      <c r="F65" s="7" t="inlineStr"/>
      <c r="G65" s="6" t="inlineStr"/>
      <c r="H65" s="6" t="n"/>
    </row>
    <row r="66" ht="28" customHeight="1">
      <c r="A66" s="7" t="inlineStr"/>
      <c r="B66" s="6" t="n"/>
      <c r="C66" s="6" t="n"/>
      <c r="D66" s="6" t="n"/>
      <c r="E66" s="6" t="n"/>
      <c r="F66" s="7" t="inlineStr"/>
      <c r="G66" s="6" t="inlineStr"/>
      <c r="H66" s="6" t="n"/>
    </row>
    <row r="67" ht="28" customHeight="1">
      <c r="A67" s="7" t="inlineStr"/>
      <c r="B67" s="6" t="n"/>
      <c r="C67" s="6" t="n"/>
      <c r="D67" s="6" t="n"/>
      <c r="E67" s="6" t="n"/>
      <c r="F67" s="7" t="inlineStr"/>
      <c r="G67" s="6" t="inlineStr"/>
      <c r="H67" s="6" t="n"/>
    </row>
    <row r="68" ht="28" customHeight="1">
      <c r="A68" s="7" t="inlineStr"/>
      <c r="B68" s="6" t="n"/>
      <c r="C68" s="6" t="n"/>
      <c r="D68" s="6" t="n"/>
      <c r="E68" s="6" t="n"/>
      <c r="F68" s="7" t="inlineStr"/>
      <c r="G68" s="6" t="inlineStr"/>
      <c r="H68" s="6" t="n"/>
    </row>
    <row r="69" ht="28" customHeight="1">
      <c r="A69" s="7" t="inlineStr"/>
      <c r="B69" s="6" t="n"/>
      <c r="C69" s="6" t="n"/>
      <c r="D69" s="6" t="n"/>
      <c r="E69" s="6" t="n"/>
      <c r="F69" s="7" t="inlineStr"/>
      <c r="G69" s="6" t="inlineStr"/>
      <c r="H69" s="6" t="n"/>
    </row>
    <row r="70" ht="28" customHeight="1">
      <c r="A70" s="7" t="inlineStr"/>
      <c r="B70" s="6" t="n"/>
      <c r="C70" s="6" t="n"/>
      <c r="D70" s="6" t="n"/>
      <c r="E70" s="6" t="n"/>
      <c r="F70" s="7" t="inlineStr"/>
      <c r="G70" s="6" t="inlineStr"/>
      <c r="H70" s="6" t="n"/>
    </row>
    <row r="71" ht="28" customHeight="1">
      <c r="A71" s="7" t="inlineStr"/>
      <c r="B71" s="6" t="n"/>
      <c r="C71" s="6" t="n"/>
      <c r="D71" s="6" t="n"/>
      <c r="E71" s="6" t="n"/>
      <c r="F71" s="7" t="inlineStr"/>
      <c r="G71" s="6" t="inlineStr"/>
      <c r="H71" s="6" t="n"/>
    </row>
    <row r="72" ht="28" customHeight="1">
      <c r="A72" s="7" t="inlineStr"/>
      <c r="B72" s="6" t="n"/>
      <c r="C72" s="6" t="n"/>
      <c r="D72" s="6" t="n"/>
      <c r="E72" s="6" t="n"/>
      <c r="F72" s="7" t="inlineStr"/>
      <c r="G72" s="6" t="inlineStr"/>
      <c r="H72" s="6" t="n"/>
    </row>
    <row r="73" ht="28" customHeight="1">
      <c r="A73" s="7" t="inlineStr"/>
      <c r="B73" s="6" t="n"/>
      <c r="C73" s="6" t="n"/>
      <c r="D73" s="6" t="n"/>
      <c r="E73" s="6" t="n"/>
      <c r="F73" s="7" t="inlineStr"/>
      <c r="G73" s="6" t="inlineStr"/>
      <c r="H73" s="6" t="n"/>
    </row>
    <row r="74" ht="28" customHeight="1">
      <c r="A74" s="7" t="inlineStr"/>
      <c r="B74" s="6" t="n"/>
      <c r="C74" s="6" t="n"/>
      <c r="D74" s="6" t="n"/>
      <c r="E74" s="6" t="n"/>
      <c r="F74" s="7" t="inlineStr"/>
      <c r="G74" s="6" t="inlineStr"/>
      <c r="H74" s="6" t="n"/>
    </row>
    <row r="75" ht="28" customHeight="1">
      <c r="A75" s="7" t="inlineStr"/>
      <c r="B75" s="6" t="n"/>
      <c r="C75" s="6" t="n"/>
      <c r="D75" s="6" t="n"/>
      <c r="E75" s="6" t="n"/>
      <c r="F75" s="7" t="inlineStr"/>
      <c r="G75" s="6" t="inlineStr"/>
      <c r="H75" s="6" t="n"/>
    </row>
    <row r="76" ht="28" customHeight="1">
      <c r="A76" s="7" t="inlineStr"/>
      <c r="B76" s="6" t="n"/>
      <c r="C76" s="6" t="n"/>
      <c r="D76" s="6" t="n"/>
      <c r="E76" s="6" t="n"/>
      <c r="F76" s="7" t="inlineStr"/>
      <c r="G76" s="6" t="inlineStr"/>
      <c r="H76" s="6" t="n"/>
    </row>
    <row r="77" ht="28" customHeight="1">
      <c r="A77" s="7" t="inlineStr"/>
      <c r="B77" s="6" t="n"/>
      <c r="C77" s="6" t="n"/>
      <c r="D77" s="6" t="n"/>
      <c r="E77" s="6" t="n"/>
      <c r="F77" s="7" t="inlineStr"/>
      <c r="G77" s="6" t="inlineStr"/>
      <c r="H77" s="6" t="n"/>
    </row>
    <row r="78" ht="28" customHeight="1">
      <c r="A78" s="7" t="inlineStr"/>
      <c r="B78" s="6" t="n"/>
      <c r="C78" s="6" t="n"/>
      <c r="D78" s="6" t="n"/>
      <c r="E78" s="6" t="n"/>
      <c r="F78" s="7" t="inlineStr"/>
      <c r="G78" s="6" t="inlineStr"/>
      <c r="H78" s="6" t="n"/>
    </row>
    <row r="79" ht="28" customHeight="1">
      <c r="A79" s="7" t="inlineStr"/>
      <c r="B79" s="6" t="n"/>
      <c r="C79" s="6" t="n"/>
      <c r="D79" s="6" t="n"/>
      <c r="E79" s="6" t="n"/>
      <c r="F79" s="7" t="inlineStr"/>
      <c r="G79" s="6" t="inlineStr"/>
      <c r="H79" s="6" t="n"/>
    </row>
    <row r="80" ht="28" customHeight="1">
      <c r="A80" s="7" t="inlineStr"/>
      <c r="B80" s="6" t="n"/>
      <c r="C80" s="6" t="n"/>
      <c r="D80" s="6" t="n"/>
      <c r="E80" s="6" t="n"/>
      <c r="F80" s="7" t="inlineStr"/>
      <c r="G80" s="6" t="inlineStr"/>
      <c r="H80" s="6" t="n"/>
    </row>
    <row r="81" ht="28" customHeight="1">
      <c r="A81" s="7" t="inlineStr"/>
      <c r="B81" s="6" t="n"/>
      <c r="C81" s="6" t="n"/>
      <c r="D81" s="6" t="n"/>
      <c r="E81" s="6" t="n"/>
      <c r="F81" s="7" t="inlineStr"/>
      <c r="G81" s="6" t="inlineStr"/>
      <c r="H81" s="6" t="n"/>
    </row>
    <row r="82" ht="28" customHeight="1">
      <c r="A82" s="7" t="inlineStr"/>
      <c r="B82" s="6" t="n"/>
      <c r="C82" s="6" t="n"/>
      <c r="D82" s="6" t="n"/>
      <c r="E82" s="6" t="n"/>
      <c r="F82" s="7" t="inlineStr"/>
      <c r="G82" s="6" t="inlineStr"/>
      <c r="H82" s="6" t="n"/>
    </row>
    <row r="83" ht="28" customHeight="1">
      <c r="A83" s="7" t="inlineStr"/>
      <c r="B83" s="6" t="n"/>
      <c r="C83" s="6" t="n"/>
      <c r="D83" s="6" t="n"/>
      <c r="E83" s="6" t="n"/>
      <c r="F83" s="7" t="inlineStr"/>
      <c r="G83" s="6" t="inlineStr"/>
      <c r="H83" s="6" t="n"/>
    </row>
    <row r="84" ht="28" customHeight="1">
      <c r="A84" s="7" t="inlineStr"/>
      <c r="B84" s="6" t="n"/>
      <c r="C84" s="6" t="n"/>
      <c r="D84" s="6" t="n"/>
      <c r="E84" s="6" t="n"/>
      <c r="F84" s="7" t="inlineStr"/>
      <c r="G84" s="6" t="inlineStr"/>
      <c r="H84" s="6" t="n"/>
    </row>
    <row r="85" ht="28" customHeight="1">
      <c r="A85" s="7" t="inlineStr"/>
      <c r="B85" s="6" t="n"/>
      <c r="C85" s="6" t="n"/>
      <c r="D85" s="6" t="n"/>
      <c r="E85" s="6" t="n"/>
      <c r="F85" s="7" t="inlineStr"/>
      <c r="G85" s="6" t="inlineStr"/>
      <c r="H85" s="6" t="n"/>
    </row>
    <row r="86" ht="28" customHeight="1">
      <c r="A86" s="7" t="inlineStr"/>
      <c r="B86" s="6" t="n"/>
      <c r="C86" s="6" t="n"/>
      <c r="D86" s="6" t="n"/>
      <c r="E86" s="6" t="n"/>
      <c r="F86" s="7" t="inlineStr"/>
      <c r="G86" s="6" t="inlineStr"/>
      <c r="H86" s="6" t="n"/>
    </row>
    <row r="87" ht="28" customHeight="1">
      <c r="A87" s="7" t="inlineStr"/>
      <c r="B87" s="6" t="n"/>
      <c r="C87" s="6" t="n"/>
      <c r="D87" s="6" t="n"/>
      <c r="E87" s="6" t="n"/>
      <c r="F87" s="7" t="inlineStr"/>
      <c r="G87" s="6" t="inlineStr"/>
      <c r="H87" s="6" t="n"/>
    </row>
    <row r="88" ht="28" customHeight="1">
      <c r="A88" s="7" t="inlineStr"/>
      <c r="B88" s="6" t="n"/>
      <c r="C88" s="6" t="n"/>
      <c r="D88" s="6" t="n"/>
      <c r="E88" s="6" t="n"/>
      <c r="F88" s="7" t="inlineStr"/>
      <c r="G88" s="6" t="inlineStr"/>
      <c r="H88" s="6" t="n"/>
    </row>
    <row r="89" ht="28" customHeight="1">
      <c r="A89" s="7" t="inlineStr"/>
      <c r="B89" s="6" t="n"/>
      <c r="C89" s="6" t="n"/>
      <c r="D89" s="6" t="n"/>
      <c r="E89" s="6" t="n"/>
      <c r="F89" s="7" t="inlineStr"/>
      <c r="G89" s="6" t="inlineStr"/>
      <c r="H89" s="6" t="n"/>
    </row>
    <row r="90" ht="28" customHeight="1">
      <c r="A90" s="7" t="inlineStr"/>
      <c r="B90" s="6" t="n"/>
      <c r="C90" s="6" t="n"/>
      <c r="D90" s="6" t="n"/>
      <c r="E90" s="6" t="n"/>
      <c r="F90" s="7" t="inlineStr"/>
      <c r="G90" s="6" t="inlineStr"/>
      <c r="H90" s="6" t="n"/>
    </row>
    <row r="91" ht="28" customHeight="1">
      <c r="A91" s="7" t="inlineStr"/>
      <c r="B91" s="6" t="n"/>
      <c r="C91" s="6" t="n"/>
      <c r="D91" s="6" t="n"/>
      <c r="E91" s="6" t="n"/>
      <c r="F91" s="7" t="inlineStr"/>
      <c r="G91" s="6" t="inlineStr"/>
      <c r="H91" s="6" t="n"/>
    </row>
    <row r="92" ht="28" customHeight="1">
      <c r="A92" s="7" t="inlineStr"/>
      <c r="B92" s="6" t="n"/>
      <c r="C92" s="6" t="n"/>
      <c r="D92" s="6" t="n"/>
      <c r="E92" s="6" t="n"/>
      <c r="F92" s="7" t="inlineStr"/>
      <c r="G92" s="6" t="inlineStr"/>
      <c r="H92" s="6" t="n"/>
    </row>
    <row r="93" ht="28" customHeight="1">
      <c r="A93" s="7" t="inlineStr"/>
      <c r="B93" s="6" t="n"/>
      <c r="C93" s="6" t="n"/>
      <c r="D93" s="6" t="n"/>
      <c r="E93" s="6" t="n"/>
      <c r="F93" s="7" t="inlineStr"/>
      <c r="G93" s="6" t="inlineStr"/>
      <c r="H93" s="6" t="n"/>
    </row>
    <row r="94" ht="28" customHeight="1">
      <c r="A94" s="7" t="inlineStr"/>
      <c r="B94" s="6" t="n"/>
      <c r="C94" s="6" t="n"/>
      <c r="D94" s="6" t="n"/>
      <c r="E94" s="6" t="n"/>
      <c r="F94" s="7" t="inlineStr"/>
      <c r="G94" s="6" t="inlineStr"/>
      <c r="H94" s="6" t="n"/>
    </row>
    <row r="95" ht="28" customHeight="1">
      <c r="A95" s="7" t="inlineStr"/>
      <c r="B95" s="6" t="n"/>
      <c r="C95" s="6" t="n"/>
      <c r="D95" s="6" t="n"/>
      <c r="E95" s="6" t="n"/>
      <c r="F95" s="7" t="inlineStr"/>
      <c r="G95" s="6" t="inlineStr"/>
      <c r="H95" s="6" t="n"/>
    </row>
    <row r="96" ht="28" customHeight="1">
      <c r="A96" s="7" t="inlineStr"/>
      <c r="B96" s="6" t="n"/>
      <c r="C96" s="6" t="n"/>
      <c r="D96" s="6" t="n"/>
      <c r="E96" s="6" t="n"/>
      <c r="F96" s="7" t="inlineStr"/>
      <c r="G96" s="6" t="inlineStr"/>
      <c r="H96" s="6" t="n"/>
    </row>
    <row r="97" ht="28" customHeight="1">
      <c r="A97" s="7" t="inlineStr"/>
      <c r="B97" s="6" t="n"/>
      <c r="C97" s="6" t="n"/>
      <c r="D97" s="6" t="n"/>
      <c r="E97" s="6" t="n"/>
      <c r="F97" s="7" t="inlineStr"/>
      <c r="G97" s="6" t="inlineStr"/>
      <c r="H97" s="6" t="n"/>
    </row>
    <row r="98" ht="28" customHeight="1">
      <c r="A98" s="7" t="inlineStr"/>
      <c r="B98" s="6" t="n"/>
      <c r="C98" s="6" t="n"/>
      <c r="D98" s="6" t="n"/>
      <c r="E98" s="6" t="n"/>
      <c r="F98" s="7" t="inlineStr"/>
      <c r="G98" s="6" t="inlineStr"/>
      <c r="H98" s="6" t="n"/>
    </row>
    <row r="99" ht="28" customHeight="1">
      <c r="A99" s="7" t="inlineStr"/>
      <c r="B99" s="6" t="n"/>
      <c r="C99" s="6" t="n"/>
      <c r="D99" s="6" t="n"/>
      <c r="E99" s="6" t="n"/>
      <c r="F99" s="7" t="inlineStr"/>
      <c r="G99" s="6" t="inlineStr"/>
      <c r="H99" s="6" t="n"/>
    </row>
    <row r="100" ht="28" customHeight="1">
      <c r="A100" s="7" t="inlineStr"/>
      <c r="B100" s="6" t="n"/>
      <c r="C100" s="6" t="n"/>
      <c r="D100" s="6" t="n"/>
      <c r="E100" s="6" t="n"/>
      <c r="F100" s="7" t="inlineStr"/>
      <c r="G100" s="6" t="inlineStr"/>
      <c r="H100" s="6" t="n"/>
    </row>
    <row r="101" ht="28" customHeight="1">
      <c r="A101" s="7" t="inlineStr"/>
      <c r="B101" s="6" t="n"/>
      <c r="C101" s="6" t="n"/>
      <c r="D101" s="6" t="n"/>
      <c r="E101" s="6" t="n"/>
      <c r="F101" s="7" t="inlineStr"/>
      <c r="G101" s="6" t="inlineStr"/>
      <c r="H101" s="6" t="n"/>
    </row>
    <row r="102" ht="28" customHeight="1">
      <c r="A102" s="7" t="inlineStr"/>
      <c r="B102" s="6" t="n"/>
      <c r="C102" s="6" t="n"/>
      <c r="D102" s="6" t="n"/>
      <c r="E102" s="6" t="n"/>
      <c r="F102" s="7" t="inlineStr"/>
      <c r="G102" s="6" t="inlineStr"/>
      <c r="H102" s="6" t="n"/>
    </row>
    <row r="103" ht="28" customHeight="1">
      <c r="A103" s="7" t="inlineStr"/>
      <c r="B103" s="6" t="n"/>
      <c r="C103" s="6" t="n"/>
      <c r="D103" s="6" t="n"/>
      <c r="E103" s="6" t="n"/>
      <c r="F103" s="7" t="inlineStr"/>
      <c r="G103" s="6" t="inlineStr"/>
      <c r="H103" s="6" t="n"/>
    </row>
    <row r="104" ht="28" customHeight="1">
      <c r="A104" s="7" t="inlineStr"/>
      <c r="B104" s="6" t="n"/>
      <c r="C104" s="6" t="n"/>
      <c r="D104" s="6" t="n"/>
      <c r="E104" s="6" t="n"/>
      <c r="F104" s="7" t="inlineStr"/>
      <c r="G104" s="6" t="inlineStr"/>
      <c r="H104" s="6" t="n"/>
    </row>
    <row r="105" ht="28" customHeight="1">
      <c r="A105" s="7" t="inlineStr"/>
      <c r="B105" s="6" t="n"/>
      <c r="C105" s="6" t="n"/>
      <c r="D105" s="6" t="n"/>
      <c r="E105" s="6" t="n"/>
      <c r="F105" s="7" t="inlineStr"/>
      <c r="G105" s="6" t="inlineStr"/>
      <c r="H105" s="6" t="n"/>
    </row>
    <row r="106" ht="28" customHeight="1">
      <c r="A106" s="7" t="inlineStr"/>
      <c r="B106" s="6" t="n"/>
      <c r="C106" s="6" t="n"/>
      <c r="D106" s="6" t="n"/>
      <c r="E106" s="6" t="n"/>
      <c r="F106" s="7" t="inlineStr"/>
      <c r="G106" s="6" t="inlineStr"/>
      <c r="H106" s="6" t="n"/>
    </row>
    <row r="107" ht="28" customHeight="1">
      <c r="A107" s="7" t="inlineStr"/>
      <c r="B107" s="6" t="n"/>
      <c r="C107" s="6" t="n"/>
      <c r="D107" s="6" t="n"/>
      <c r="E107" s="6" t="n"/>
      <c r="F107" s="7" t="inlineStr"/>
      <c r="G107" s="6" t="inlineStr"/>
      <c r="H107" s="6" t="n"/>
    </row>
    <row r="108" ht="28" customHeight="1">
      <c r="A108" s="7" t="inlineStr"/>
      <c r="B108" s="6" t="n"/>
      <c r="C108" s="6" t="n"/>
      <c r="D108" s="6" t="n"/>
      <c r="E108" s="6" t="n"/>
      <c r="F108" s="7" t="inlineStr"/>
      <c r="G108" s="6" t="inlineStr"/>
      <c r="H108" s="6" t="n"/>
    </row>
    <row r="109" ht="28" customHeight="1">
      <c r="A109" s="7" t="inlineStr"/>
      <c r="B109" s="6" t="n"/>
      <c r="C109" s="6" t="n"/>
      <c r="D109" s="6" t="n"/>
      <c r="E109" s="6" t="n"/>
      <c r="F109" s="7" t="inlineStr"/>
      <c r="G109" s="6" t="inlineStr"/>
      <c r="H109" s="6" t="n"/>
    </row>
    <row r="110" ht="28" customHeight="1">
      <c r="A110" s="7" t="inlineStr"/>
      <c r="B110" s="6" t="n"/>
      <c r="C110" s="6" t="n"/>
      <c r="D110" s="6" t="n"/>
      <c r="E110" s="6" t="n"/>
      <c r="F110" s="7" t="inlineStr"/>
      <c r="G110" s="6" t="inlineStr"/>
      <c r="H110" s="6" t="n"/>
    </row>
    <row r="111" ht="28" customHeight="1">
      <c r="A111" s="7" t="inlineStr"/>
      <c r="B111" s="6" t="n"/>
      <c r="C111" s="6" t="n"/>
      <c r="D111" s="6" t="n"/>
      <c r="E111" s="6" t="n"/>
      <c r="F111" s="7" t="inlineStr"/>
      <c r="G111" s="6" t="inlineStr"/>
      <c r="H111" s="6" t="n"/>
    </row>
    <row r="112" ht="28" customHeight="1">
      <c r="A112" s="7" t="inlineStr"/>
      <c r="B112" s="6" t="n"/>
      <c r="C112" s="6" t="n"/>
      <c r="D112" s="6" t="n"/>
      <c r="E112" s="6" t="n"/>
      <c r="F112" s="7" t="inlineStr"/>
      <c r="G112" s="6" t="inlineStr"/>
      <c r="H112" s="6" t="n"/>
    </row>
    <row r="113" ht="28" customHeight="1">
      <c r="A113" s="7" t="inlineStr"/>
      <c r="B113" s="6" t="n"/>
      <c r="C113" s="6" t="n"/>
      <c r="D113" s="6" t="n"/>
      <c r="E113" s="6" t="n"/>
      <c r="F113" s="7" t="inlineStr"/>
      <c r="G113" s="6" t="inlineStr"/>
      <c r="H113" s="6" t="n"/>
    </row>
    <row r="114" ht="28" customHeight="1">
      <c r="A114" s="7" t="inlineStr"/>
      <c r="B114" s="6" t="n"/>
      <c r="C114" s="6" t="n"/>
      <c r="D114" s="6" t="n"/>
      <c r="E114" s="6" t="n"/>
      <c r="F114" s="7" t="inlineStr"/>
      <c r="G114" s="6" t="inlineStr"/>
      <c r="H114" s="6" t="n"/>
    </row>
    <row r="115" ht="28" customHeight="1">
      <c r="A115" s="7" t="inlineStr"/>
      <c r="B115" s="6" t="n"/>
      <c r="C115" s="6" t="n"/>
      <c r="D115" s="6" t="n"/>
      <c r="E115" s="6" t="n"/>
      <c r="F115" s="7" t="inlineStr"/>
      <c r="G115" s="6" t="inlineStr"/>
      <c r="H115" s="6" t="n"/>
    </row>
    <row r="116" ht="28" customHeight="1">
      <c r="A116" s="7" t="inlineStr"/>
      <c r="B116" s="6" t="n"/>
      <c r="C116" s="6" t="n"/>
      <c r="D116" s="6" t="n"/>
      <c r="E116" s="6" t="n"/>
      <c r="F116" s="7" t="inlineStr"/>
      <c r="G116" s="6" t="inlineStr"/>
      <c r="H116" s="6" t="n"/>
    </row>
    <row r="117" ht="28" customHeight="1">
      <c r="A117" s="7" t="inlineStr"/>
      <c r="B117" s="6" t="n"/>
      <c r="C117" s="6" t="n"/>
      <c r="D117" s="6" t="n"/>
      <c r="E117" s="6" t="n"/>
      <c r="F117" s="7" t="inlineStr"/>
      <c r="G117" s="6" t="inlineStr"/>
      <c r="H117" s="6" t="n"/>
    </row>
    <row r="118" ht="28" customHeight="1">
      <c r="A118" s="7" t="inlineStr"/>
      <c r="B118" s="6" t="n"/>
      <c r="C118" s="6" t="n"/>
      <c r="D118" s="6" t="n"/>
      <c r="E118" s="6" t="n"/>
      <c r="F118" s="7" t="inlineStr"/>
      <c r="G118" s="6" t="inlineStr"/>
      <c r="H118" s="6" t="n"/>
    </row>
    <row r="119" ht="28" customHeight="1">
      <c r="A119" s="7" t="inlineStr"/>
      <c r="B119" s="6" t="n"/>
      <c r="C119" s="6" t="n"/>
      <c r="D119" s="6" t="n"/>
      <c r="E119" s="6" t="n"/>
      <c r="F119" s="7" t="inlineStr"/>
      <c r="G119" s="6" t="inlineStr"/>
      <c r="H119" s="6" t="n"/>
    </row>
    <row r="120" ht="28" customHeight="1">
      <c r="A120" s="7" t="inlineStr"/>
      <c r="B120" s="6" t="n"/>
      <c r="C120" s="6" t="n"/>
      <c r="D120" s="6" t="n"/>
      <c r="E120" s="6" t="n"/>
      <c r="F120" s="7" t="inlineStr"/>
      <c r="G120" s="6" t="inlineStr"/>
      <c r="H120" s="6" t="n"/>
    </row>
    <row r="121" ht="28" customHeight="1">
      <c r="A121" s="7" t="inlineStr"/>
      <c r="B121" s="6" t="n"/>
      <c r="C121" s="6" t="n"/>
      <c r="D121" s="6" t="n"/>
      <c r="E121" s="6" t="n"/>
      <c r="F121" s="7" t="inlineStr"/>
      <c r="G121" s="6" t="inlineStr"/>
      <c r="H121" s="6" t="n"/>
    </row>
    <row r="122" ht="28" customHeight="1">
      <c r="A122" s="7" t="inlineStr"/>
      <c r="B122" s="6" t="n"/>
      <c r="C122" s="6" t="n"/>
      <c r="D122" s="6" t="n"/>
      <c r="E122" s="6" t="n"/>
      <c r="F122" s="7" t="inlineStr"/>
      <c r="G122" s="6" t="inlineStr"/>
      <c r="H122" s="6" t="n"/>
    </row>
    <row r="123" ht="28" customHeight="1">
      <c r="A123" s="7" t="inlineStr"/>
      <c r="B123" s="6" t="n"/>
      <c r="C123" s="6" t="n"/>
      <c r="D123" s="6" t="n"/>
      <c r="E123" s="6" t="n"/>
      <c r="F123" s="7" t="inlineStr"/>
      <c r="G123" s="6" t="inlineStr"/>
      <c r="H123" s="6" t="n"/>
    </row>
    <row r="124" ht="28" customHeight="1">
      <c r="A124" s="7" t="inlineStr"/>
      <c r="B124" s="6" t="n"/>
      <c r="C124" s="6" t="n"/>
      <c r="D124" s="6" t="n"/>
      <c r="E124" s="6" t="n"/>
      <c r="F124" s="7" t="inlineStr"/>
      <c r="G124" s="6" t="inlineStr"/>
      <c r="H124" s="6" t="n"/>
    </row>
    <row r="125" ht="28" customHeight="1">
      <c r="A125" s="7" t="inlineStr"/>
      <c r="B125" s="6" t="n"/>
      <c r="C125" s="6" t="n"/>
      <c r="D125" s="6" t="n"/>
      <c r="E125" s="6" t="n"/>
      <c r="F125" s="7" t="inlineStr"/>
      <c r="G125" s="6" t="inlineStr"/>
      <c r="H125" s="6" t="n"/>
    </row>
    <row r="126" ht="28" customHeight="1">
      <c r="A126" s="7" t="inlineStr"/>
      <c r="B126" s="6" t="n"/>
      <c r="C126" s="6" t="n"/>
      <c r="D126" s="6" t="n"/>
      <c r="E126" s="6" t="n"/>
      <c r="F126" s="7" t="inlineStr"/>
      <c r="G126" s="6" t="inlineStr"/>
      <c r="H126" s="6" t="n"/>
    </row>
    <row r="127" ht="28" customHeight="1">
      <c r="A127" s="7" t="inlineStr"/>
      <c r="B127" s="6" t="n"/>
      <c r="C127" s="6" t="n"/>
      <c r="D127" s="6" t="n"/>
      <c r="E127" s="6" t="n"/>
      <c r="F127" s="7" t="inlineStr"/>
      <c r="G127" s="6" t="inlineStr"/>
      <c r="H127" s="6" t="n"/>
    </row>
    <row r="128" ht="28" customHeight="1">
      <c r="A128" s="7" t="inlineStr"/>
      <c r="B128" s="6" t="n"/>
      <c r="C128" s="6" t="n"/>
      <c r="D128" s="6" t="n"/>
      <c r="E128" s="6" t="n"/>
      <c r="F128" s="7" t="inlineStr"/>
      <c r="G128" s="6" t="inlineStr"/>
      <c r="H128" s="6" t="n"/>
    </row>
    <row r="129" ht="28" customHeight="1">
      <c r="A129" s="7" t="inlineStr"/>
      <c r="B129" s="6" t="n"/>
      <c r="C129" s="6" t="n"/>
      <c r="D129" s="6" t="n"/>
      <c r="E129" s="6" t="n"/>
      <c r="F129" s="7" t="inlineStr"/>
      <c r="G129" s="6" t="inlineStr"/>
      <c r="H129" s="6" t="n"/>
    </row>
    <row r="130" ht="28" customHeight="1">
      <c r="A130" s="7" t="inlineStr"/>
      <c r="B130" s="6" t="n"/>
      <c r="C130" s="6" t="n"/>
      <c r="D130" s="6" t="n"/>
      <c r="E130" s="6" t="n"/>
      <c r="F130" s="7" t="inlineStr"/>
      <c r="G130" s="6" t="inlineStr"/>
      <c r="H130" s="6" t="n"/>
    </row>
    <row r="131" ht="28" customHeight="1">
      <c r="A131" s="7" t="inlineStr"/>
      <c r="B131" s="6" t="n"/>
      <c r="C131" s="6" t="n"/>
      <c r="D131" s="6" t="n"/>
      <c r="E131" s="6" t="n"/>
      <c r="F131" s="7" t="inlineStr"/>
      <c r="G131" s="6" t="inlineStr"/>
      <c r="H131" s="6" t="n"/>
    </row>
    <row r="132" ht="28" customHeight="1">
      <c r="A132" s="7" t="inlineStr"/>
      <c r="B132" s="6" t="n"/>
      <c r="C132" s="6" t="n"/>
      <c r="D132" s="6" t="n"/>
      <c r="E132" s="6" t="n"/>
      <c r="F132" s="7" t="inlineStr"/>
      <c r="G132" s="6" t="inlineStr"/>
      <c r="H132" s="6" t="n"/>
    </row>
    <row r="133" ht="28" customHeight="1">
      <c r="A133" s="7" t="inlineStr"/>
      <c r="B133" s="6" t="n"/>
      <c r="C133" s="6" t="n"/>
      <c r="D133" s="6" t="n"/>
      <c r="E133" s="6" t="n"/>
      <c r="F133" s="7" t="inlineStr"/>
      <c r="G133" s="6" t="inlineStr"/>
      <c r="H133" s="6" t="n"/>
    </row>
    <row r="134" ht="28" customHeight="1">
      <c r="A134" s="7" t="inlineStr"/>
      <c r="B134" s="6" t="n"/>
      <c r="C134" s="6" t="n"/>
      <c r="D134" s="6" t="n"/>
      <c r="E134" s="6" t="n"/>
      <c r="F134" s="7" t="inlineStr"/>
      <c r="G134" s="6" t="inlineStr"/>
      <c r="H134" s="6" t="n"/>
    </row>
    <row r="135" ht="28" customHeight="1">
      <c r="A135" s="7" t="inlineStr"/>
      <c r="B135" s="6" t="n"/>
      <c r="C135" s="6" t="n"/>
      <c r="D135" s="6" t="n"/>
      <c r="E135" s="6" t="n"/>
      <c r="F135" s="7" t="inlineStr"/>
      <c r="G135" s="6" t="inlineStr"/>
      <c r="H135" s="6" t="n"/>
    </row>
    <row r="136" ht="28" customHeight="1">
      <c r="A136" s="7" t="inlineStr"/>
      <c r="B136" s="6" t="n"/>
      <c r="C136" s="6" t="n"/>
      <c r="D136" s="6" t="n"/>
      <c r="E136" s="6" t="n"/>
      <c r="F136" s="7" t="inlineStr"/>
      <c r="G136" s="6" t="inlineStr"/>
      <c r="H136" s="6" t="n"/>
    </row>
    <row r="137" ht="28" customHeight="1">
      <c r="A137" s="7" t="inlineStr"/>
      <c r="B137" s="6" t="n"/>
      <c r="C137" s="6" t="n"/>
      <c r="D137" s="6" t="n"/>
      <c r="E137" s="6" t="n"/>
      <c r="F137" s="7" t="inlineStr"/>
      <c r="G137" s="6" t="inlineStr"/>
      <c r="H137" s="6" t="n"/>
    </row>
    <row r="138" ht="28" customHeight="1">
      <c r="A138" s="7" t="inlineStr"/>
      <c r="B138" s="6" t="n"/>
      <c r="C138" s="6" t="n"/>
      <c r="D138" s="6" t="n"/>
      <c r="E138" s="6" t="n"/>
      <c r="F138" s="7" t="inlineStr"/>
      <c r="G138" s="6" t="inlineStr"/>
      <c r="H138" s="6" t="n"/>
    </row>
    <row r="139" ht="28" customHeight="1">
      <c r="A139" s="7" t="inlineStr"/>
      <c r="B139" s="6" t="n"/>
      <c r="C139" s="6" t="n"/>
      <c r="D139" s="6" t="n"/>
      <c r="E139" s="6" t="n"/>
      <c r="F139" s="7" t="inlineStr"/>
      <c r="G139" s="6" t="inlineStr"/>
      <c r="H139" s="6" t="n"/>
    </row>
    <row r="140" ht="28" customHeight="1">
      <c r="A140" s="7" t="inlineStr"/>
      <c r="B140" s="6" t="n"/>
      <c r="C140" s="6" t="n"/>
      <c r="D140" s="6" t="n"/>
      <c r="E140" s="6" t="n"/>
      <c r="F140" s="7" t="inlineStr"/>
      <c r="G140" s="6" t="inlineStr"/>
      <c r="H140" s="6" t="n"/>
    </row>
    <row r="141" ht="28" customHeight="1">
      <c r="A141" s="7" t="inlineStr"/>
      <c r="B141" s="6" t="n"/>
      <c r="C141" s="6" t="n"/>
      <c r="D141" s="6" t="n"/>
      <c r="E141" s="6" t="n"/>
      <c r="F141" s="7" t="inlineStr"/>
      <c r="G141" s="6" t="inlineStr"/>
      <c r="H141" s="6" t="n"/>
    </row>
    <row r="142" ht="28" customHeight="1">
      <c r="A142" s="7" t="inlineStr"/>
      <c r="B142" s="6" t="n"/>
      <c r="C142" s="6" t="n"/>
      <c r="D142" s="6" t="n"/>
      <c r="E142" s="6" t="n"/>
      <c r="F142" s="7" t="inlineStr"/>
      <c r="G142" s="6" t="inlineStr"/>
      <c r="H142" s="6" t="n"/>
    </row>
    <row r="143" ht="28" customHeight="1">
      <c r="A143" s="7" t="inlineStr"/>
      <c r="B143" s="6" t="n"/>
      <c r="C143" s="6" t="n"/>
      <c r="D143" s="6" t="n"/>
      <c r="E143" s="6" t="n"/>
      <c r="F143" s="7" t="inlineStr"/>
      <c r="G143" s="6" t="inlineStr"/>
      <c r="H143" s="6" t="n"/>
    </row>
    <row r="144" ht="28" customHeight="1">
      <c r="A144" s="7" t="inlineStr"/>
      <c r="B144" s="6" t="n"/>
      <c r="C144" s="6" t="n"/>
      <c r="D144" s="6" t="n"/>
      <c r="E144" s="6" t="n"/>
      <c r="F144" s="7" t="inlineStr"/>
      <c r="G144" s="6" t="inlineStr"/>
      <c r="H144" s="6" t="n"/>
    </row>
    <row r="145" ht="28" customHeight="1">
      <c r="A145" s="7" t="inlineStr"/>
      <c r="B145" s="6" t="n"/>
      <c r="C145" s="6" t="n"/>
      <c r="D145" s="6" t="n"/>
      <c r="E145" s="6" t="n"/>
      <c r="F145" s="7" t="inlineStr"/>
      <c r="G145" s="6" t="inlineStr"/>
      <c r="H145" s="6" t="n"/>
    </row>
    <row r="146" ht="28" customHeight="1">
      <c r="A146" s="7" t="inlineStr"/>
      <c r="B146" s="6" t="n"/>
      <c r="C146" s="6" t="n"/>
      <c r="D146" s="6" t="n"/>
      <c r="E146" s="6" t="n"/>
      <c r="F146" s="7" t="inlineStr"/>
      <c r="G146" s="6" t="inlineStr"/>
      <c r="H146" s="6" t="n"/>
    </row>
    <row r="147" ht="28" customHeight="1">
      <c r="A147" s="7" t="inlineStr"/>
      <c r="B147" s="6" t="n"/>
      <c r="C147" s="6" t="n"/>
      <c r="D147" s="6" t="n"/>
      <c r="E147" s="6" t="n"/>
      <c r="F147" s="7" t="inlineStr"/>
      <c r="G147" s="6" t="inlineStr"/>
      <c r="H147" s="6" t="n"/>
    </row>
    <row r="148" ht="28" customHeight="1">
      <c r="A148" s="7" t="inlineStr"/>
      <c r="B148" s="6" t="n"/>
      <c r="C148" s="6" t="n"/>
      <c r="D148" s="6" t="n"/>
      <c r="E148" s="6" t="n"/>
      <c r="F148" s="7" t="inlineStr"/>
      <c r="G148" s="6" t="inlineStr"/>
      <c r="H148" s="6" t="n"/>
    </row>
    <row r="149" ht="28" customHeight="1">
      <c r="A149" s="7" t="inlineStr"/>
      <c r="B149" s="6" t="n"/>
      <c r="C149" s="6" t="n"/>
      <c r="D149" s="6" t="n"/>
      <c r="E149" s="6" t="n"/>
      <c r="F149" s="7" t="inlineStr"/>
      <c r="G149" s="6" t="inlineStr"/>
      <c r="H149" s="6" t="n"/>
    </row>
    <row r="150" ht="28" customHeight="1">
      <c r="A150" s="7" t="inlineStr"/>
      <c r="B150" s="6" t="n"/>
      <c r="C150" s="6" t="n"/>
      <c r="D150" s="6" t="n"/>
      <c r="E150" s="6" t="n"/>
      <c r="F150" s="7" t="inlineStr"/>
      <c r="G150" s="6" t="inlineStr"/>
      <c r="H150" s="6" t="n"/>
    </row>
    <row r="151" ht="28" customHeight="1">
      <c r="A151" s="7" t="inlineStr"/>
      <c r="B151" s="6" t="n"/>
      <c r="C151" s="6" t="n"/>
      <c r="D151" s="6" t="n"/>
      <c r="E151" s="6" t="n"/>
      <c r="F151" s="7" t="inlineStr"/>
      <c r="G151" s="6" t="inlineStr"/>
      <c r="H151" s="6" t="n"/>
    </row>
    <row r="152" ht="28" customHeight="1">
      <c r="A152" s="7" t="inlineStr"/>
      <c r="B152" s="6" t="n"/>
      <c r="C152" s="6" t="n"/>
      <c r="D152" s="6" t="n"/>
      <c r="E152" s="6" t="n"/>
      <c r="F152" s="7" t="inlineStr"/>
      <c r="G152" s="6" t="inlineStr"/>
      <c r="H152" s="6" t="n"/>
    </row>
    <row r="153" ht="28" customHeight="1">
      <c r="A153" s="7" t="inlineStr"/>
      <c r="B153" s="6" t="n"/>
      <c r="C153" s="6" t="n"/>
      <c r="D153" s="6" t="n"/>
      <c r="E153" s="6" t="n"/>
      <c r="F153" s="7" t="inlineStr"/>
      <c r="G153" s="6" t="inlineStr"/>
      <c r="H153" s="6" t="n"/>
    </row>
    <row r="154" ht="28" customHeight="1">
      <c r="A154" s="7" t="inlineStr"/>
      <c r="B154" s="6" t="n"/>
      <c r="C154" s="6" t="n"/>
      <c r="D154" s="6" t="n"/>
      <c r="E154" s="6" t="n"/>
      <c r="F154" s="7" t="inlineStr"/>
      <c r="G154" s="6" t="inlineStr"/>
      <c r="H154" s="6" t="n"/>
    </row>
    <row r="155" ht="28" customHeight="1">
      <c r="A155" s="7" t="inlineStr"/>
      <c r="B155" s="6" t="n"/>
      <c r="C155" s="6" t="n"/>
      <c r="D155" s="6" t="n"/>
      <c r="E155" s="6" t="n"/>
      <c r="F155" s="7" t="inlineStr"/>
      <c r="G155" s="6" t="inlineStr"/>
      <c r="H155" s="6" t="n"/>
    </row>
    <row r="156" ht="28" customHeight="1">
      <c r="A156" s="7" t="inlineStr"/>
      <c r="B156" s="6" t="n"/>
      <c r="C156" s="6" t="n"/>
      <c r="D156" s="6" t="n"/>
      <c r="E156" s="6" t="n"/>
      <c r="F156" s="7" t="inlineStr"/>
      <c r="G156" s="6" t="inlineStr"/>
      <c r="H156" s="6" t="n"/>
    </row>
    <row r="157" ht="28" customHeight="1">
      <c r="A157" s="7" t="inlineStr"/>
      <c r="B157" s="6" t="n"/>
      <c r="C157" s="6" t="n"/>
      <c r="D157" s="6" t="n"/>
      <c r="E157" s="6" t="n"/>
      <c r="F157" s="7" t="inlineStr"/>
      <c r="G157" s="6" t="inlineStr"/>
      <c r="H157" s="6" t="n"/>
    </row>
    <row r="158" ht="28" customHeight="1">
      <c r="A158" s="7" t="inlineStr"/>
      <c r="B158" s="6" t="n"/>
      <c r="C158" s="6" t="n"/>
      <c r="D158" s="6" t="n"/>
      <c r="E158" s="6" t="n"/>
      <c r="F158" s="7" t="inlineStr"/>
      <c r="G158" s="6" t="inlineStr"/>
      <c r="H158" s="6" t="n"/>
    </row>
    <row r="159" ht="28" customHeight="1">
      <c r="A159" s="7" t="inlineStr"/>
      <c r="B159" s="6" t="n"/>
      <c r="C159" s="6" t="n"/>
      <c r="D159" s="6" t="n"/>
      <c r="E159" s="6" t="n"/>
      <c r="F159" s="7" t="inlineStr"/>
      <c r="G159" s="6" t="inlineStr"/>
      <c r="H159" s="6" t="n"/>
    </row>
    <row r="160" ht="28" customHeight="1">
      <c r="A160" s="7" t="inlineStr"/>
      <c r="B160" s="6" t="n"/>
      <c r="C160" s="6" t="n"/>
      <c r="D160" s="6" t="n"/>
      <c r="E160" s="6" t="n"/>
      <c r="F160" s="7" t="inlineStr"/>
      <c r="G160" s="6" t="inlineStr"/>
      <c r="H160" s="6" t="n"/>
    </row>
    <row r="161" ht="28" customHeight="1">
      <c r="A161" s="7" t="inlineStr"/>
      <c r="B161" s="6" t="n"/>
      <c r="C161" s="6" t="n"/>
      <c r="D161" s="6" t="n"/>
      <c r="E161" s="6" t="n"/>
      <c r="F161" s="7" t="inlineStr"/>
      <c r="G161" s="6" t="inlineStr"/>
      <c r="H161" s="6" t="n"/>
    </row>
    <row r="162" ht="28" customHeight="1">
      <c r="A162" s="7" t="inlineStr"/>
      <c r="B162" s="6" t="n"/>
      <c r="C162" s="6" t="n"/>
      <c r="D162" s="6" t="n"/>
      <c r="E162" s="6" t="n"/>
      <c r="F162" s="7" t="inlineStr"/>
      <c r="G162" s="6" t="inlineStr"/>
      <c r="H162" s="6" t="n"/>
    </row>
    <row r="163" ht="28" customHeight="1">
      <c r="A163" s="7" t="inlineStr"/>
      <c r="B163" s="6" t="n"/>
      <c r="C163" s="6" t="n"/>
      <c r="D163" s="6" t="n"/>
      <c r="E163" s="6" t="n"/>
      <c r="F163" s="7" t="inlineStr"/>
      <c r="G163" s="6" t="inlineStr"/>
      <c r="H163" s="6" t="n"/>
    </row>
    <row r="164" ht="28" customHeight="1">
      <c r="A164" s="7" t="inlineStr"/>
      <c r="B164" s="6" t="n"/>
      <c r="C164" s="6" t="n"/>
      <c r="D164" s="6" t="n"/>
      <c r="E164" s="6" t="n"/>
      <c r="F164" s="7" t="inlineStr"/>
      <c r="G164" s="6" t="inlineStr"/>
      <c r="H164" s="6" t="n"/>
    </row>
    <row r="165" ht="28" customHeight="1">
      <c r="A165" s="7" t="inlineStr"/>
      <c r="B165" s="6" t="n"/>
      <c r="C165" s="6" t="n"/>
      <c r="D165" s="6" t="n"/>
      <c r="E165" s="6" t="n"/>
      <c r="F165" s="7" t="inlineStr"/>
      <c r="G165" s="6" t="inlineStr"/>
      <c r="H165" s="6" t="n"/>
    </row>
    <row r="166" ht="28" customHeight="1">
      <c r="A166" s="7" t="inlineStr"/>
      <c r="B166" s="6" t="n"/>
      <c r="C166" s="6" t="n"/>
      <c r="D166" s="6" t="n"/>
      <c r="E166" s="6" t="n"/>
      <c r="F166" s="7" t="inlineStr"/>
      <c r="G166" s="6" t="inlineStr"/>
      <c r="H166" s="6" t="n"/>
    </row>
    <row r="167" ht="28" customHeight="1">
      <c r="A167" s="7" t="inlineStr"/>
      <c r="B167" s="6" t="n"/>
      <c r="C167" s="6" t="n"/>
      <c r="D167" s="6" t="n"/>
      <c r="E167" s="6" t="n"/>
      <c r="F167" s="7" t="inlineStr"/>
      <c r="G167" s="6" t="inlineStr"/>
      <c r="H167" s="6" t="n"/>
    </row>
    <row r="168" ht="28" customHeight="1">
      <c r="A168" s="7" t="inlineStr"/>
      <c r="B168" s="6" t="n"/>
      <c r="C168" s="6" t="n"/>
      <c r="D168" s="6" t="n"/>
      <c r="E168" s="6" t="n"/>
      <c r="F168" s="7" t="inlineStr"/>
      <c r="G168" s="6" t="inlineStr"/>
      <c r="H168" s="6" t="n"/>
    </row>
    <row r="169" ht="28" customHeight="1">
      <c r="A169" s="7" t="inlineStr"/>
      <c r="B169" s="6" t="n"/>
      <c r="C169" s="6" t="n"/>
      <c r="D169" s="6" t="n"/>
      <c r="E169" s="6" t="n"/>
      <c r="F169" s="7" t="inlineStr"/>
      <c r="G169" s="6" t="inlineStr"/>
      <c r="H169" s="6" t="n"/>
    </row>
    <row r="170" ht="28" customHeight="1">
      <c r="A170" s="7" t="inlineStr"/>
      <c r="B170" s="6" t="n"/>
      <c r="C170" s="6" t="n"/>
      <c r="D170" s="6" t="n"/>
      <c r="E170" s="6" t="n"/>
      <c r="F170" s="7" t="inlineStr"/>
      <c r="G170" s="6" t="inlineStr"/>
      <c r="H170" s="6" t="n"/>
    </row>
    <row r="171" ht="28" customHeight="1">
      <c r="A171" s="7" t="inlineStr"/>
      <c r="B171" s="6" t="n"/>
      <c r="C171" s="6" t="n"/>
      <c r="D171" s="6" t="n"/>
      <c r="E171" s="6" t="n"/>
      <c r="F171" s="7" t="inlineStr"/>
      <c r="G171" s="6" t="inlineStr"/>
      <c r="H171" s="6" t="n"/>
    </row>
    <row r="172" ht="28" customHeight="1">
      <c r="A172" s="7" t="inlineStr"/>
      <c r="B172" s="6" t="n"/>
      <c r="C172" s="6" t="n"/>
      <c r="D172" s="6" t="n"/>
      <c r="E172" s="6" t="n"/>
      <c r="F172" s="7" t="inlineStr"/>
      <c r="G172" s="6" t="inlineStr"/>
      <c r="H172" s="6" t="n"/>
    </row>
    <row r="173" ht="28" customHeight="1">
      <c r="A173" s="7" t="inlineStr"/>
      <c r="B173" s="6" t="n"/>
      <c r="C173" s="6" t="n"/>
      <c r="D173" s="6" t="n"/>
      <c r="E173" s="6" t="n"/>
      <c r="F173" s="7" t="inlineStr"/>
      <c r="G173" s="6" t="inlineStr"/>
      <c r="H173" s="6" t="n"/>
    </row>
    <row r="174" ht="28" customHeight="1">
      <c r="A174" s="7" t="inlineStr"/>
      <c r="B174" s="6" t="n"/>
      <c r="C174" s="6" t="n"/>
      <c r="D174" s="6" t="n"/>
      <c r="E174" s="6" t="n"/>
      <c r="F174" s="7" t="inlineStr"/>
      <c r="G174" s="6" t="inlineStr"/>
      <c r="H174" s="6" t="n"/>
    </row>
    <row r="175" ht="28" customHeight="1">
      <c r="A175" s="7" t="inlineStr"/>
      <c r="B175" s="6" t="n"/>
      <c r="C175" s="6" t="n"/>
      <c r="D175" s="6" t="n"/>
      <c r="E175" s="6" t="n"/>
      <c r="F175" s="7" t="inlineStr"/>
      <c r="G175" s="6" t="inlineStr"/>
      <c r="H175" s="6" t="n"/>
    </row>
    <row r="176" ht="28" customHeight="1">
      <c r="A176" s="7" t="inlineStr"/>
      <c r="B176" s="6" t="n"/>
      <c r="C176" s="6" t="n"/>
      <c r="D176" s="6" t="n"/>
      <c r="E176" s="6" t="n"/>
      <c r="F176" s="7" t="inlineStr"/>
      <c r="G176" s="6" t="inlineStr"/>
      <c r="H176" s="6" t="n"/>
    </row>
    <row r="177" ht="28" customHeight="1">
      <c r="A177" s="7" t="inlineStr"/>
      <c r="B177" s="6" t="n"/>
      <c r="C177" s="6" t="n"/>
      <c r="D177" s="6" t="n"/>
      <c r="E177" s="6" t="n"/>
      <c r="F177" s="7" t="inlineStr"/>
      <c r="G177" s="6" t="inlineStr"/>
      <c r="H177" s="6" t="n"/>
    </row>
    <row r="178" ht="28" customHeight="1">
      <c r="A178" s="7" t="inlineStr"/>
      <c r="B178" s="6" t="n"/>
      <c r="C178" s="6" t="n"/>
      <c r="D178" s="6" t="n"/>
      <c r="E178" s="6" t="n"/>
      <c r="F178" s="7" t="inlineStr"/>
      <c r="G178" s="6" t="inlineStr"/>
      <c r="H178" s="6" t="n"/>
    </row>
    <row r="179" ht="28" customHeight="1">
      <c r="A179" s="7" t="inlineStr"/>
      <c r="B179" s="6" t="n"/>
      <c r="C179" s="6" t="n"/>
      <c r="D179" s="6" t="n"/>
      <c r="E179" s="6" t="n"/>
      <c r="F179" s="7" t="inlineStr"/>
      <c r="G179" s="6" t="inlineStr"/>
      <c r="H179" s="6" t="n"/>
    </row>
    <row r="180" ht="28" customHeight="1">
      <c r="A180" s="7" t="inlineStr"/>
      <c r="B180" s="6" t="n"/>
      <c r="C180" s="6" t="n"/>
      <c r="D180" s="6" t="n"/>
      <c r="E180" s="6" t="n"/>
      <c r="F180" s="7" t="inlineStr"/>
      <c r="G180" s="6" t="inlineStr"/>
      <c r="H180" s="6" t="n"/>
    </row>
    <row r="181" ht="28" customHeight="1">
      <c r="A181" s="7" t="inlineStr"/>
      <c r="B181" s="6" t="n"/>
      <c r="C181" s="6" t="n"/>
      <c r="D181" s="6" t="n"/>
      <c r="E181" s="6" t="n"/>
      <c r="F181" s="7" t="inlineStr"/>
      <c r="G181" s="6" t="inlineStr"/>
      <c r="H181" s="6" t="n"/>
    </row>
    <row r="182" ht="28" customHeight="1">
      <c r="A182" s="7" t="inlineStr"/>
      <c r="B182" s="6" t="n"/>
      <c r="C182" s="6" t="n"/>
      <c r="D182" s="6" t="n"/>
      <c r="E182" s="6" t="n"/>
      <c r="F182" s="7" t="inlineStr"/>
      <c r="G182" s="6" t="inlineStr"/>
      <c r="H182" s="6" t="n"/>
    </row>
    <row r="183" ht="28" customHeight="1">
      <c r="A183" s="7" t="inlineStr"/>
      <c r="B183" s="6" t="n"/>
      <c r="C183" s="6" t="n"/>
      <c r="D183" s="6" t="n"/>
      <c r="E183" s="6" t="n"/>
      <c r="F183" s="7" t="inlineStr"/>
      <c r="G183" s="6" t="inlineStr"/>
      <c r="H183" s="6" t="n"/>
    </row>
    <row r="184" ht="28" customHeight="1">
      <c r="A184" s="7" t="inlineStr"/>
      <c r="B184" s="6" t="n"/>
      <c r="C184" s="6" t="n"/>
      <c r="D184" s="6" t="n"/>
      <c r="E184" s="6" t="n"/>
      <c r="F184" s="7" t="inlineStr"/>
      <c r="G184" s="6" t="inlineStr"/>
      <c r="H184" s="6" t="n"/>
    </row>
    <row r="185" ht="28" customHeight="1">
      <c r="A185" s="7" t="inlineStr"/>
      <c r="B185" s="6" t="n"/>
      <c r="C185" s="6" t="n"/>
      <c r="D185" s="6" t="n"/>
      <c r="E185" s="6" t="n"/>
      <c r="F185" s="7" t="inlineStr"/>
      <c r="G185" s="6" t="inlineStr"/>
      <c r="H185" s="6" t="n"/>
    </row>
    <row r="186" ht="28" customHeight="1">
      <c r="A186" s="7" t="inlineStr"/>
      <c r="B186" s="6" t="n"/>
      <c r="C186" s="6" t="n"/>
      <c r="D186" s="6" t="n"/>
      <c r="E186" s="6" t="n"/>
      <c r="F186" s="7" t="inlineStr"/>
      <c r="G186" s="6" t="inlineStr"/>
      <c r="H186" s="6" t="n"/>
    </row>
    <row r="187" ht="28" customHeight="1">
      <c r="A187" s="7" t="inlineStr"/>
      <c r="B187" s="6" t="n"/>
      <c r="C187" s="6" t="n"/>
      <c r="D187" s="6" t="n"/>
      <c r="E187" s="6" t="n"/>
      <c r="F187" s="7" t="inlineStr"/>
      <c r="G187" s="6" t="inlineStr"/>
      <c r="H187" s="6" t="n"/>
    </row>
    <row r="188" ht="28" customHeight="1">
      <c r="A188" s="7" t="inlineStr"/>
      <c r="B188" s="6" t="n"/>
      <c r="C188" s="6" t="n"/>
      <c r="D188" s="6" t="n"/>
      <c r="E188" s="6" t="n"/>
      <c r="F188" s="7" t="inlineStr"/>
      <c r="G188" s="6" t="inlineStr"/>
      <c r="H188" s="6" t="n"/>
    </row>
    <row r="189" ht="28" customHeight="1">
      <c r="A189" s="7" t="inlineStr"/>
      <c r="B189" s="6" t="n"/>
      <c r="C189" s="6" t="n"/>
      <c r="D189" s="6" t="n"/>
      <c r="E189" s="6" t="n"/>
      <c r="F189" s="7" t="inlineStr"/>
      <c r="G189" s="6" t="inlineStr"/>
      <c r="H189" s="6" t="n"/>
    </row>
    <row r="190" ht="28" customHeight="1">
      <c r="A190" s="7" t="inlineStr"/>
      <c r="B190" s="6" t="n"/>
      <c r="C190" s="6" t="n"/>
      <c r="D190" s="6" t="n"/>
      <c r="E190" s="6" t="n"/>
      <c r="F190" s="7" t="inlineStr"/>
      <c r="G190" s="6" t="inlineStr"/>
      <c r="H190" s="6" t="n"/>
    </row>
    <row r="191" ht="28" customHeight="1">
      <c r="A191" s="7" t="inlineStr"/>
      <c r="B191" s="6" t="n"/>
      <c r="C191" s="6" t="n"/>
      <c r="D191" s="6" t="n"/>
      <c r="E191" s="6" t="n"/>
      <c r="F191" s="7" t="inlineStr"/>
      <c r="G191" s="6" t="inlineStr"/>
      <c r="H191" s="6" t="n"/>
    </row>
    <row r="192" ht="28" customHeight="1">
      <c r="A192" s="7" t="inlineStr"/>
      <c r="B192" s="6" t="n"/>
      <c r="C192" s="6" t="n"/>
      <c r="D192" s="6" t="n"/>
      <c r="E192" s="6" t="n"/>
      <c r="F192" s="7" t="inlineStr"/>
      <c r="G192" s="6" t="inlineStr"/>
      <c r="H192" s="6" t="n"/>
    </row>
    <row r="193" ht="28" customHeight="1">
      <c r="A193" s="7" t="inlineStr"/>
      <c r="B193" s="6" t="n"/>
      <c r="C193" s="6" t="n"/>
      <c r="D193" s="6" t="n"/>
      <c r="E193" s="6" t="n"/>
      <c r="F193" s="7" t="inlineStr"/>
      <c r="G193" s="6" t="inlineStr"/>
      <c r="H193" s="6" t="n"/>
    </row>
    <row r="194" ht="28" customHeight="1">
      <c r="A194" s="7" t="inlineStr"/>
      <c r="B194" s="6" t="n"/>
      <c r="C194" s="6" t="n"/>
      <c r="D194" s="6" t="n"/>
      <c r="E194" s="6" t="n"/>
      <c r="F194" s="7" t="inlineStr"/>
      <c r="G194" s="6" t="inlineStr"/>
      <c r="H194" s="6" t="n"/>
    </row>
    <row r="195" ht="28" customHeight="1">
      <c r="A195" s="7" t="inlineStr"/>
      <c r="B195" s="6" t="n"/>
      <c r="C195" s="6" t="n"/>
      <c r="D195" s="6" t="n"/>
      <c r="E195" s="6" t="n"/>
      <c r="F195" s="7" t="inlineStr"/>
      <c r="G195" s="6" t="inlineStr"/>
      <c r="H195" s="6" t="n"/>
    </row>
    <row r="196" ht="28" customHeight="1">
      <c r="A196" s="7" t="inlineStr"/>
      <c r="B196" s="6" t="n"/>
      <c r="C196" s="6" t="n"/>
      <c r="D196" s="6" t="n"/>
      <c r="E196" s="6" t="n"/>
      <c r="F196" s="7" t="inlineStr"/>
      <c r="G196" s="6" t="inlineStr"/>
      <c r="H196" s="6" t="n"/>
    </row>
    <row r="197" ht="28" customHeight="1">
      <c r="A197" s="7" t="inlineStr"/>
      <c r="B197" s="6" t="n"/>
      <c r="C197" s="6" t="n"/>
      <c r="D197" s="6" t="n"/>
      <c r="E197" s="6" t="n"/>
      <c r="F197" s="7" t="inlineStr"/>
      <c r="G197" s="6" t="inlineStr"/>
      <c r="H197" s="6" t="n"/>
    </row>
    <row r="198" ht="28" customHeight="1">
      <c r="A198" s="7" t="inlineStr"/>
      <c r="B198" s="6" t="n"/>
      <c r="C198" s="6" t="n"/>
      <c r="D198" s="6" t="n"/>
      <c r="E198" s="6" t="n"/>
      <c r="F198" s="7" t="inlineStr"/>
      <c r="G198" s="6" t="inlineStr"/>
      <c r="H198" s="6" t="n"/>
    </row>
    <row r="199" ht="28" customHeight="1">
      <c r="A199" s="7" t="inlineStr"/>
      <c r="B199" s="6" t="n"/>
      <c r="C199" s="6" t="n"/>
      <c r="D199" s="6" t="n"/>
      <c r="E199" s="6" t="n"/>
      <c r="F199" s="7" t="inlineStr"/>
      <c r="G199" s="6" t="inlineStr"/>
      <c r="H199" s="6" t="n"/>
    </row>
    <row r="200" ht="28" customHeight="1">
      <c r="A200" s="7" t="inlineStr"/>
      <c r="B200" s="6" t="n"/>
      <c r="C200" s="6" t="n"/>
      <c r="D200" s="6" t="n"/>
      <c r="E200" s="6" t="n"/>
      <c r="F200" s="7" t="inlineStr"/>
      <c r="G200" s="6" t="inlineStr"/>
      <c r="H200" s="6" t="n"/>
    </row>
  </sheetData>
  <conditionalFormatting sqref="G2:G200">
    <cfRule type="cellIs" priority="1" operator="equal" dxfId="2">
      <formula>"x"</formula>
    </cfRule>
  </conditionalFormatting>
  <dataValidations count="1">
    <dataValidation sqref="G2:G200" showDropDown="0" showInputMessage="0" showErrorMessage="0" allowBlank="1" type="list">
      <formula1>=Lists!$D$2:$D$3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8" customWidth="1" min="4" max="4"/>
    <col width="40" customWidth="1" min="5" max="5"/>
    <col width="40" customWidth="1" min="6" max="6"/>
    <col width="24" customWidth="1" min="7" max="7"/>
  </cols>
  <sheetData>
    <row r="1" ht="26" customHeight="1">
      <c r="A1" s="10" t="inlineStr">
        <is>
          <t>Dato</t>
        </is>
      </c>
      <c r="B1" s="10" t="inlineStr">
        <is>
          <t>Ord skrevet</t>
        </is>
      </c>
      <c r="C1" s="10" t="inlineStr">
        <is>
          <t>Timer</t>
        </is>
      </c>
      <c r="D1" s="10" t="inlineStr">
        <is>
          <t>Kapittel/sekjson</t>
        </is>
      </c>
      <c r="E1" s="10" t="inlineStr">
        <is>
          <t>Hva fikk du gjort?</t>
        </is>
      </c>
      <c r="F1" s="10" t="inlineStr">
        <is>
          <t>Plan for neste økt</t>
        </is>
      </c>
      <c r="G1" s="10" t="inlineStr">
        <is>
          <t>Kommentar</t>
        </is>
      </c>
    </row>
    <row r="2" ht="26" customHeight="1">
      <c r="A2" s="7" t="inlineStr"/>
      <c r="B2" s="8" t="inlineStr"/>
      <c r="C2" s="17" t="inlineStr"/>
      <c r="D2" s="6" t="n"/>
      <c r="E2" s="6" t="n"/>
      <c r="F2" s="6" t="n"/>
      <c r="G2" s="6" t="n"/>
    </row>
    <row r="3" ht="26" customHeight="1">
      <c r="A3" s="7" t="inlineStr"/>
      <c r="B3" s="8" t="inlineStr"/>
      <c r="C3" s="17" t="inlineStr"/>
      <c r="D3" s="6" t="n"/>
      <c r="E3" s="6" t="n"/>
      <c r="F3" s="6" t="n"/>
      <c r="G3" s="6" t="n"/>
    </row>
    <row r="4" ht="26" customHeight="1">
      <c r="A4" s="7" t="inlineStr"/>
      <c r="B4" s="8" t="inlineStr"/>
      <c r="C4" s="17" t="inlineStr"/>
      <c r="D4" s="6" t="n"/>
      <c r="E4" s="6" t="n"/>
      <c r="F4" s="6" t="n"/>
      <c r="G4" s="6" t="n"/>
    </row>
    <row r="5" ht="26" customHeight="1">
      <c r="A5" s="7" t="inlineStr"/>
      <c r="B5" s="8" t="inlineStr"/>
      <c r="C5" s="17" t="inlineStr"/>
      <c r="D5" s="6" t="n"/>
      <c r="E5" s="6" t="n"/>
      <c r="F5" s="6" t="n"/>
      <c r="G5" s="6" t="n"/>
    </row>
    <row r="6" ht="26" customHeight="1">
      <c r="A6" s="7" t="inlineStr"/>
      <c r="B6" s="8" t="inlineStr"/>
      <c r="C6" s="17" t="inlineStr"/>
      <c r="D6" s="6" t="n"/>
      <c r="E6" s="6" t="n"/>
      <c r="F6" s="6" t="n"/>
      <c r="G6" s="6" t="n"/>
    </row>
    <row r="7" ht="26" customHeight="1">
      <c r="A7" s="7" t="inlineStr"/>
      <c r="B7" s="8" t="inlineStr"/>
      <c r="C7" s="17" t="inlineStr"/>
      <c r="D7" s="6" t="n"/>
      <c r="E7" s="6" t="n"/>
      <c r="F7" s="6" t="n"/>
      <c r="G7" s="6" t="n"/>
    </row>
    <row r="8" ht="26" customHeight="1">
      <c r="A8" s="7" t="inlineStr"/>
      <c r="B8" s="8" t="inlineStr"/>
      <c r="C8" s="17" t="inlineStr"/>
      <c r="D8" s="6" t="n"/>
      <c r="E8" s="6" t="n"/>
      <c r="F8" s="6" t="n"/>
      <c r="G8" s="6" t="n"/>
    </row>
    <row r="9" ht="26" customHeight="1">
      <c r="A9" s="7" t="inlineStr"/>
      <c r="B9" s="8" t="inlineStr"/>
      <c r="C9" s="17" t="inlineStr"/>
      <c r="D9" s="6" t="n"/>
      <c r="E9" s="6" t="n"/>
      <c r="F9" s="6" t="n"/>
      <c r="G9" s="6" t="n"/>
    </row>
    <row r="10" ht="26" customHeight="1">
      <c r="A10" s="7" t="inlineStr"/>
      <c r="B10" s="8" t="inlineStr"/>
      <c r="C10" s="17" t="inlineStr"/>
      <c r="D10" s="6" t="n"/>
      <c r="E10" s="6" t="n"/>
      <c r="F10" s="6" t="n"/>
      <c r="G10" s="6" t="n"/>
    </row>
    <row r="11" ht="26" customHeight="1">
      <c r="A11" s="7" t="inlineStr"/>
      <c r="B11" s="8" t="inlineStr"/>
      <c r="C11" s="17" t="inlineStr"/>
      <c r="D11" s="6" t="n"/>
      <c r="E11" s="6" t="n"/>
      <c r="F11" s="6" t="n"/>
      <c r="G11" s="6" t="n"/>
    </row>
    <row r="12" ht="26" customHeight="1">
      <c r="A12" s="7" t="inlineStr"/>
      <c r="B12" s="8" t="inlineStr"/>
      <c r="C12" s="17" t="inlineStr"/>
      <c r="D12" s="6" t="n"/>
      <c r="E12" s="6" t="n"/>
      <c r="F12" s="6" t="n"/>
      <c r="G12" s="6" t="n"/>
    </row>
    <row r="13" ht="26" customHeight="1">
      <c r="A13" s="7" t="inlineStr"/>
      <c r="B13" s="8" t="inlineStr"/>
      <c r="C13" s="17" t="inlineStr"/>
      <c r="D13" s="6" t="n"/>
      <c r="E13" s="6" t="n"/>
      <c r="F13" s="6" t="n"/>
      <c r="G13" s="6" t="n"/>
    </row>
    <row r="14" ht="26" customHeight="1">
      <c r="A14" s="7" t="inlineStr"/>
      <c r="B14" s="8" t="inlineStr"/>
      <c r="C14" s="17" t="inlineStr"/>
      <c r="D14" s="6" t="n"/>
      <c r="E14" s="6" t="n"/>
      <c r="F14" s="6" t="n"/>
      <c r="G14" s="6" t="n"/>
    </row>
    <row r="15" ht="26" customHeight="1">
      <c r="A15" s="7" t="inlineStr"/>
      <c r="B15" s="8" t="inlineStr"/>
      <c r="C15" s="17" t="inlineStr"/>
      <c r="D15" s="6" t="n"/>
      <c r="E15" s="6" t="n"/>
      <c r="F15" s="6" t="n"/>
      <c r="G15" s="6" t="n"/>
    </row>
    <row r="16" ht="26" customHeight="1">
      <c r="A16" s="7" t="inlineStr"/>
      <c r="B16" s="8" t="inlineStr"/>
      <c r="C16" s="17" t="inlineStr"/>
      <c r="D16" s="6" t="n"/>
      <c r="E16" s="6" t="n"/>
      <c r="F16" s="6" t="n"/>
      <c r="G16" s="6" t="n"/>
    </row>
    <row r="17" ht="26" customHeight="1">
      <c r="A17" s="7" t="inlineStr"/>
      <c r="B17" s="8" t="inlineStr"/>
      <c r="C17" s="17" t="inlineStr"/>
      <c r="D17" s="6" t="n"/>
      <c r="E17" s="6" t="n"/>
      <c r="F17" s="6" t="n"/>
      <c r="G17" s="6" t="n"/>
    </row>
    <row r="18" ht="26" customHeight="1">
      <c r="A18" s="7" t="inlineStr"/>
      <c r="B18" s="8" t="inlineStr"/>
      <c r="C18" s="17" t="inlineStr"/>
      <c r="D18" s="6" t="n"/>
      <c r="E18" s="6" t="n"/>
      <c r="F18" s="6" t="n"/>
      <c r="G18" s="6" t="n"/>
    </row>
    <row r="19" ht="26" customHeight="1">
      <c r="A19" s="7" t="inlineStr"/>
      <c r="B19" s="8" t="inlineStr"/>
      <c r="C19" s="17" t="inlineStr"/>
      <c r="D19" s="6" t="n"/>
      <c r="E19" s="6" t="n"/>
      <c r="F19" s="6" t="n"/>
      <c r="G19" s="6" t="n"/>
    </row>
    <row r="20" ht="26" customHeight="1">
      <c r="A20" s="7" t="inlineStr"/>
      <c r="B20" s="8" t="inlineStr"/>
      <c r="C20" s="17" t="inlineStr"/>
      <c r="D20" s="6" t="n"/>
      <c r="E20" s="6" t="n"/>
      <c r="F20" s="6" t="n"/>
      <c r="G20" s="6" t="n"/>
    </row>
    <row r="21" ht="26" customHeight="1">
      <c r="A21" s="7" t="inlineStr"/>
      <c r="B21" s="8" t="inlineStr"/>
      <c r="C21" s="17" t="inlineStr"/>
      <c r="D21" s="6" t="n"/>
      <c r="E21" s="6" t="n"/>
      <c r="F21" s="6" t="n"/>
      <c r="G21" s="6" t="n"/>
    </row>
    <row r="22" ht="26" customHeight="1">
      <c r="A22" s="7" t="inlineStr"/>
      <c r="B22" s="8" t="inlineStr"/>
      <c r="C22" s="17" t="inlineStr"/>
      <c r="D22" s="6" t="n"/>
      <c r="E22" s="6" t="n"/>
      <c r="F22" s="6" t="n"/>
      <c r="G22" s="6" t="n"/>
    </row>
    <row r="23" ht="26" customHeight="1">
      <c r="A23" s="7" t="inlineStr"/>
      <c r="B23" s="8" t="inlineStr"/>
      <c r="C23" s="17" t="inlineStr"/>
      <c r="D23" s="6" t="n"/>
      <c r="E23" s="6" t="n"/>
      <c r="F23" s="6" t="n"/>
      <c r="G23" s="6" t="n"/>
    </row>
    <row r="24" ht="26" customHeight="1">
      <c r="A24" s="7" t="inlineStr"/>
      <c r="B24" s="8" t="inlineStr"/>
      <c r="C24" s="17" t="inlineStr"/>
      <c r="D24" s="6" t="n"/>
      <c r="E24" s="6" t="n"/>
      <c r="F24" s="6" t="n"/>
      <c r="G24" s="6" t="n"/>
    </row>
    <row r="25" ht="26" customHeight="1">
      <c r="A25" s="7" t="inlineStr"/>
      <c r="B25" s="8" t="inlineStr"/>
      <c r="C25" s="17" t="inlineStr"/>
      <c r="D25" s="6" t="n"/>
      <c r="E25" s="6" t="n"/>
      <c r="F25" s="6" t="n"/>
      <c r="G25" s="6" t="n"/>
    </row>
    <row r="26" ht="26" customHeight="1">
      <c r="A26" s="7" t="inlineStr"/>
      <c r="B26" s="8" t="inlineStr"/>
      <c r="C26" s="17" t="inlineStr"/>
      <c r="D26" s="6" t="n"/>
      <c r="E26" s="6" t="n"/>
      <c r="F26" s="6" t="n"/>
      <c r="G26" s="6" t="n"/>
    </row>
    <row r="27" ht="26" customHeight="1">
      <c r="A27" s="7" t="inlineStr"/>
      <c r="B27" s="8" t="inlineStr"/>
      <c r="C27" s="17" t="inlineStr"/>
      <c r="D27" s="6" t="n"/>
      <c r="E27" s="6" t="n"/>
      <c r="F27" s="6" t="n"/>
      <c r="G27" s="6" t="n"/>
    </row>
    <row r="28" ht="26" customHeight="1">
      <c r="A28" s="7" t="inlineStr"/>
      <c r="B28" s="8" t="inlineStr"/>
      <c r="C28" s="17" t="inlineStr"/>
      <c r="D28" s="6" t="n"/>
      <c r="E28" s="6" t="n"/>
      <c r="F28" s="6" t="n"/>
      <c r="G28" s="6" t="n"/>
    </row>
    <row r="29" ht="26" customHeight="1">
      <c r="A29" s="7" t="inlineStr"/>
      <c r="B29" s="8" t="inlineStr"/>
      <c r="C29" s="17" t="inlineStr"/>
      <c r="D29" s="6" t="n"/>
      <c r="E29" s="6" t="n"/>
      <c r="F29" s="6" t="n"/>
      <c r="G29" s="6" t="n"/>
    </row>
    <row r="30" ht="26" customHeight="1">
      <c r="A30" s="7" t="inlineStr"/>
      <c r="B30" s="8" t="inlineStr"/>
      <c r="C30" s="17" t="inlineStr"/>
      <c r="D30" s="6" t="n"/>
      <c r="E30" s="6" t="n"/>
      <c r="F30" s="6" t="n"/>
      <c r="G30" s="6" t="n"/>
    </row>
    <row r="31" ht="26" customHeight="1">
      <c r="A31" s="7" t="inlineStr"/>
      <c r="B31" s="8" t="inlineStr"/>
      <c r="C31" s="17" t="inlineStr"/>
      <c r="D31" s="6" t="n"/>
      <c r="E31" s="6" t="n"/>
      <c r="F31" s="6" t="n"/>
      <c r="G31" s="6" t="n"/>
    </row>
    <row r="32" ht="26" customHeight="1">
      <c r="A32" s="7" t="inlineStr"/>
      <c r="B32" s="8" t="inlineStr"/>
      <c r="C32" s="17" t="inlineStr"/>
      <c r="D32" s="6" t="n"/>
      <c r="E32" s="6" t="n"/>
      <c r="F32" s="6" t="n"/>
      <c r="G32" s="6" t="n"/>
    </row>
    <row r="33" ht="26" customHeight="1">
      <c r="A33" s="7" t="inlineStr"/>
      <c r="B33" s="8" t="inlineStr"/>
      <c r="C33" s="17" t="inlineStr"/>
      <c r="D33" s="6" t="n"/>
      <c r="E33" s="6" t="n"/>
      <c r="F33" s="6" t="n"/>
      <c r="G33" s="6" t="n"/>
    </row>
    <row r="34" ht="26" customHeight="1">
      <c r="A34" s="7" t="inlineStr"/>
      <c r="B34" s="8" t="inlineStr"/>
      <c r="C34" s="17" t="inlineStr"/>
      <c r="D34" s="6" t="n"/>
      <c r="E34" s="6" t="n"/>
      <c r="F34" s="6" t="n"/>
      <c r="G34" s="6" t="n"/>
    </row>
    <row r="35" ht="26" customHeight="1">
      <c r="A35" s="7" t="inlineStr"/>
      <c r="B35" s="8" t="inlineStr"/>
      <c r="C35" s="17" t="inlineStr"/>
      <c r="D35" s="6" t="n"/>
      <c r="E35" s="6" t="n"/>
      <c r="F35" s="6" t="n"/>
      <c r="G35" s="6" t="n"/>
    </row>
    <row r="36" ht="26" customHeight="1">
      <c r="A36" s="7" t="inlineStr"/>
      <c r="B36" s="8" t="inlineStr"/>
      <c r="C36" s="17" t="inlineStr"/>
      <c r="D36" s="6" t="n"/>
      <c r="E36" s="6" t="n"/>
      <c r="F36" s="6" t="n"/>
      <c r="G36" s="6" t="n"/>
    </row>
    <row r="37" ht="26" customHeight="1">
      <c r="A37" s="7" t="inlineStr"/>
      <c r="B37" s="8" t="inlineStr"/>
      <c r="C37" s="17" t="inlineStr"/>
      <c r="D37" s="6" t="n"/>
      <c r="E37" s="6" t="n"/>
      <c r="F37" s="6" t="n"/>
      <c r="G37" s="6" t="n"/>
    </row>
    <row r="38" ht="26" customHeight="1">
      <c r="A38" s="7" t="inlineStr"/>
      <c r="B38" s="8" t="inlineStr"/>
      <c r="C38" s="17" t="inlineStr"/>
      <c r="D38" s="6" t="n"/>
      <c r="E38" s="6" t="n"/>
      <c r="F38" s="6" t="n"/>
      <c r="G38" s="6" t="n"/>
    </row>
    <row r="39" ht="26" customHeight="1">
      <c r="A39" s="7" t="inlineStr"/>
      <c r="B39" s="8" t="inlineStr"/>
      <c r="C39" s="17" t="inlineStr"/>
      <c r="D39" s="6" t="n"/>
      <c r="E39" s="6" t="n"/>
      <c r="F39" s="6" t="n"/>
      <c r="G39" s="6" t="n"/>
    </row>
    <row r="40" ht="26" customHeight="1">
      <c r="A40" s="7" t="inlineStr"/>
      <c r="B40" s="8" t="inlineStr"/>
      <c r="C40" s="17" t="inlineStr"/>
      <c r="D40" s="6" t="n"/>
      <c r="E40" s="6" t="n"/>
      <c r="F40" s="6" t="n"/>
      <c r="G40" s="6" t="n"/>
    </row>
    <row r="41" ht="26" customHeight="1">
      <c r="A41" s="7" t="inlineStr"/>
      <c r="B41" s="8" t="inlineStr"/>
      <c r="C41" s="17" t="inlineStr"/>
      <c r="D41" s="6" t="n"/>
      <c r="E41" s="6" t="n"/>
      <c r="F41" s="6" t="n"/>
      <c r="G41" s="6" t="n"/>
    </row>
    <row r="42" ht="26" customHeight="1">
      <c r="A42" s="7" t="inlineStr"/>
      <c r="B42" s="8" t="inlineStr"/>
      <c r="C42" s="17" t="inlineStr"/>
      <c r="D42" s="6" t="n"/>
      <c r="E42" s="6" t="n"/>
      <c r="F42" s="6" t="n"/>
      <c r="G42" s="6" t="n"/>
    </row>
    <row r="43" ht="26" customHeight="1">
      <c r="A43" s="7" t="inlineStr"/>
      <c r="B43" s="8" t="inlineStr"/>
      <c r="C43" s="17" t="inlineStr"/>
      <c r="D43" s="6" t="n"/>
      <c r="E43" s="6" t="n"/>
      <c r="F43" s="6" t="n"/>
      <c r="G43" s="6" t="n"/>
    </row>
    <row r="44" ht="26" customHeight="1">
      <c r="A44" s="7" t="inlineStr"/>
      <c r="B44" s="8" t="inlineStr"/>
      <c r="C44" s="17" t="inlineStr"/>
      <c r="D44" s="6" t="n"/>
      <c r="E44" s="6" t="n"/>
      <c r="F44" s="6" t="n"/>
      <c r="G44" s="6" t="n"/>
    </row>
    <row r="45" ht="26" customHeight="1">
      <c r="A45" s="7" t="inlineStr"/>
      <c r="B45" s="8" t="inlineStr"/>
      <c r="C45" s="17" t="inlineStr"/>
      <c r="D45" s="6" t="n"/>
      <c r="E45" s="6" t="n"/>
      <c r="F45" s="6" t="n"/>
      <c r="G45" s="6" t="n"/>
    </row>
    <row r="46" ht="26" customHeight="1">
      <c r="A46" s="7" t="inlineStr"/>
      <c r="B46" s="8" t="inlineStr"/>
      <c r="C46" s="17" t="inlineStr"/>
      <c r="D46" s="6" t="n"/>
      <c r="E46" s="6" t="n"/>
      <c r="F46" s="6" t="n"/>
      <c r="G46" s="6" t="n"/>
    </row>
    <row r="47" ht="26" customHeight="1">
      <c r="A47" s="7" t="inlineStr"/>
      <c r="B47" s="8" t="inlineStr"/>
      <c r="C47" s="17" t="inlineStr"/>
      <c r="D47" s="6" t="n"/>
      <c r="E47" s="6" t="n"/>
      <c r="F47" s="6" t="n"/>
      <c r="G47" s="6" t="n"/>
    </row>
    <row r="48" ht="26" customHeight="1">
      <c r="A48" s="7" t="inlineStr"/>
      <c r="B48" s="8" t="inlineStr"/>
      <c r="C48" s="17" t="inlineStr"/>
      <c r="D48" s="6" t="n"/>
      <c r="E48" s="6" t="n"/>
      <c r="F48" s="6" t="n"/>
      <c r="G48" s="6" t="n"/>
    </row>
    <row r="49" ht="26" customHeight="1">
      <c r="A49" s="7" t="inlineStr"/>
      <c r="B49" s="8" t="inlineStr"/>
      <c r="C49" s="17" t="inlineStr"/>
      <c r="D49" s="6" t="n"/>
      <c r="E49" s="6" t="n"/>
      <c r="F49" s="6" t="n"/>
      <c r="G49" s="6" t="n"/>
    </row>
    <row r="50" ht="26" customHeight="1">
      <c r="A50" s="7" t="inlineStr"/>
      <c r="B50" s="8" t="inlineStr"/>
      <c r="C50" s="17" t="inlineStr"/>
      <c r="D50" s="6" t="n"/>
      <c r="E50" s="6" t="n"/>
      <c r="F50" s="6" t="n"/>
      <c r="G50" s="6" t="n"/>
    </row>
    <row r="51" ht="26" customHeight="1">
      <c r="A51" s="7" t="inlineStr"/>
      <c r="B51" s="8" t="inlineStr"/>
      <c r="C51" s="17" t="inlineStr"/>
      <c r="D51" s="6" t="n"/>
      <c r="E51" s="6" t="n"/>
      <c r="F51" s="6" t="n"/>
      <c r="G51" s="6" t="n"/>
    </row>
    <row r="52" ht="26" customHeight="1">
      <c r="A52" s="7" t="inlineStr"/>
      <c r="B52" s="8" t="inlineStr"/>
      <c r="C52" s="17" t="inlineStr"/>
      <c r="D52" s="6" t="n"/>
      <c r="E52" s="6" t="n"/>
      <c r="F52" s="6" t="n"/>
      <c r="G52" s="6" t="n"/>
    </row>
    <row r="53" ht="26" customHeight="1">
      <c r="A53" s="7" t="inlineStr"/>
      <c r="B53" s="8" t="inlineStr"/>
      <c r="C53" s="17" t="inlineStr"/>
      <c r="D53" s="6" t="n"/>
      <c r="E53" s="6" t="n"/>
      <c r="F53" s="6" t="n"/>
      <c r="G53" s="6" t="n"/>
    </row>
    <row r="54" ht="26" customHeight="1">
      <c r="A54" s="7" t="inlineStr"/>
      <c r="B54" s="8" t="inlineStr"/>
      <c r="C54" s="17" t="inlineStr"/>
      <c r="D54" s="6" t="n"/>
      <c r="E54" s="6" t="n"/>
      <c r="F54" s="6" t="n"/>
      <c r="G54" s="6" t="n"/>
    </row>
    <row r="55" ht="26" customHeight="1">
      <c r="A55" s="7" t="inlineStr"/>
      <c r="B55" s="8" t="inlineStr"/>
      <c r="C55" s="17" t="inlineStr"/>
      <c r="D55" s="6" t="n"/>
      <c r="E55" s="6" t="n"/>
      <c r="F55" s="6" t="n"/>
      <c r="G55" s="6" t="n"/>
    </row>
    <row r="56" ht="26" customHeight="1">
      <c r="A56" s="7" t="inlineStr"/>
      <c r="B56" s="8" t="inlineStr"/>
      <c r="C56" s="17" t="inlineStr"/>
      <c r="D56" s="6" t="n"/>
      <c r="E56" s="6" t="n"/>
      <c r="F56" s="6" t="n"/>
      <c r="G56" s="6" t="n"/>
    </row>
    <row r="57" ht="26" customHeight="1">
      <c r="A57" s="7" t="inlineStr"/>
      <c r="B57" s="8" t="inlineStr"/>
      <c r="C57" s="17" t="inlineStr"/>
      <c r="D57" s="6" t="n"/>
      <c r="E57" s="6" t="n"/>
      <c r="F57" s="6" t="n"/>
      <c r="G57" s="6" t="n"/>
    </row>
    <row r="58" ht="26" customHeight="1">
      <c r="A58" s="7" t="inlineStr"/>
      <c r="B58" s="8" t="inlineStr"/>
      <c r="C58" s="17" t="inlineStr"/>
      <c r="D58" s="6" t="n"/>
      <c r="E58" s="6" t="n"/>
      <c r="F58" s="6" t="n"/>
      <c r="G58" s="6" t="n"/>
    </row>
    <row r="59" ht="26" customHeight="1">
      <c r="A59" s="7" t="inlineStr"/>
      <c r="B59" s="8" t="inlineStr"/>
      <c r="C59" s="17" t="inlineStr"/>
      <c r="D59" s="6" t="n"/>
      <c r="E59" s="6" t="n"/>
      <c r="F59" s="6" t="n"/>
      <c r="G59" s="6" t="n"/>
    </row>
    <row r="60" ht="26" customHeight="1">
      <c r="A60" s="7" t="inlineStr"/>
      <c r="B60" s="8" t="inlineStr"/>
      <c r="C60" s="17" t="inlineStr"/>
      <c r="D60" s="6" t="n"/>
      <c r="E60" s="6" t="n"/>
      <c r="F60" s="6" t="n"/>
      <c r="G60" s="6" t="n"/>
    </row>
    <row r="61" ht="26" customHeight="1">
      <c r="A61" s="7" t="inlineStr"/>
      <c r="B61" s="8" t="inlineStr"/>
      <c r="C61" s="17" t="inlineStr"/>
      <c r="D61" s="6" t="n"/>
      <c r="E61" s="6" t="n"/>
      <c r="F61" s="6" t="n"/>
      <c r="G61" s="6" t="n"/>
    </row>
    <row r="62" ht="26" customHeight="1">
      <c r="A62" s="7" t="inlineStr"/>
      <c r="B62" s="8" t="inlineStr"/>
      <c r="C62" s="17" t="inlineStr"/>
      <c r="D62" s="6" t="n"/>
      <c r="E62" s="6" t="n"/>
      <c r="F62" s="6" t="n"/>
      <c r="G62" s="6" t="n"/>
    </row>
    <row r="63" ht="26" customHeight="1">
      <c r="A63" s="7" t="inlineStr"/>
      <c r="B63" s="8" t="inlineStr"/>
      <c r="C63" s="17" t="inlineStr"/>
      <c r="D63" s="6" t="n"/>
      <c r="E63" s="6" t="n"/>
      <c r="F63" s="6" t="n"/>
      <c r="G63" s="6" t="n"/>
    </row>
    <row r="64" ht="26" customHeight="1">
      <c r="A64" s="7" t="inlineStr"/>
      <c r="B64" s="8" t="inlineStr"/>
      <c r="C64" s="17" t="inlineStr"/>
      <c r="D64" s="6" t="n"/>
      <c r="E64" s="6" t="n"/>
      <c r="F64" s="6" t="n"/>
      <c r="G64" s="6" t="n"/>
    </row>
    <row r="65" ht="26" customHeight="1">
      <c r="A65" s="7" t="inlineStr"/>
      <c r="B65" s="8" t="inlineStr"/>
      <c r="C65" s="17" t="inlineStr"/>
      <c r="D65" s="6" t="n"/>
      <c r="E65" s="6" t="n"/>
      <c r="F65" s="6" t="n"/>
      <c r="G65" s="6" t="n"/>
    </row>
    <row r="66" ht="26" customHeight="1">
      <c r="A66" s="7" t="inlineStr"/>
      <c r="B66" s="8" t="inlineStr"/>
      <c r="C66" s="17" t="inlineStr"/>
      <c r="D66" s="6" t="n"/>
      <c r="E66" s="6" t="n"/>
      <c r="F66" s="6" t="n"/>
      <c r="G66" s="6" t="n"/>
    </row>
    <row r="67" ht="26" customHeight="1">
      <c r="A67" s="7" t="inlineStr"/>
      <c r="B67" s="8" t="inlineStr"/>
      <c r="C67" s="17" t="inlineStr"/>
      <c r="D67" s="6" t="n"/>
      <c r="E67" s="6" t="n"/>
      <c r="F67" s="6" t="n"/>
      <c r="G67" s="6" t="n"/>
    </row>
    <row r="68" ht="26" customHeight="1">
      <c r="A68" s="7" t="inlineStr"/>
      <c r="B68" s="8" t="inlineStr"/>
      <c r="C68" s="17" t="inlineStr"/>
      <c r="D68" s="6" t="n"/>
      <c r="E68" s="6" t="n"/>
      <c r="F68" s="6" t="n"/>
      <c r="G68" s="6" t="n"/>
    </row>
    <row r="69" ht="26" customHeight="1">
      <c r="A69" s="7" t="inlineStr"/>
      <c r="B69" s="8" t="inlineStr"/>
      <c r="C69" s="17" t="inlineStr"/>
      <c r="D69" s="6" t="n"/>
      <c r="E69" s="6" t="n"/>
      <c r="F69" s="6" t="n"/>
      <c r="G69" s="6" t="n"/>
    </row>
    <row r="70" ht="26" customHeight="1">
      <c r="A70" s="7" t="inlineStr"/>
      <c r="B70" s="8" t="inlineStr"/>
      <c r="C70" s="17" t="inlineStr"/>
      <c r="D70" s="6" t="n"/>
      <c r="E70" s="6" t="n"/>
      <c r="F70" s="6" t="n"/>
      <c r="G70" s="6" t="n"/>
    </row>
    <row r="71" ht="26" customHeight="1">
      <c r="A71" s="7" t="inlineStr"/>
      <c r="B71" s="8" t="inlineStr"/>
      <c r="C71" s="17" t="inlineStr"/>
      <c r="D71" s="6" t="n"/>
      <c r="E71" s="6" t="n"/>
      <c r="F71" s="6" t="n"/>
      <c r="G71" s="6" t="n"/>
    </row>
    <row r="72" ht="26" customHeight="1">
      <c r="A72" s="7" t="inlineStr"/>
      <c r="B72" s="8" t="inlineStr"/>
      <c r="C72" s="17" t="inlineStr"/>
      <c r="D72" s="6" t="n"/>
      <c r="E72" s="6" t="n"/>
      <c r="F72" s="6" t="n"/>
      <c r="G72" s="6" t="n"/>
    </row>
    <row r="73" ht="26" customHeight="1">
      <c r="A73" s="7" t="inlineStr"/>
      <c r="B73" s="8" t="inlineStr"/>
      <c r="C73" s="17" t="inlineStr"/>
      <c r="D73" s="6" t="n"/>
      <c r="E73" s="6" t="n"/>
      <c r="F73" s="6" t="n"/>
      <c r="G73" s="6" t="n"/>
    </row>
    <row r="74" ht="26" customHeight="1">
      <c r="A74" s="7" t="inlineStr"/>
      <c r="B74" s="8" t="inlineStr"/>
      <c r="C74" s="17" t="inlineStr"/>
      <c r="D74" s="6" t="n"/>
      <c r="E74" s="6" t="n"/>
      <c r="F74" s="6" t="n"/>
      <c r="G74" s="6" t="n"/>
    </row>
    <row r="75" ht="26" customHeight="1">
      <c r="A75" s="7" t="inlineStr"/>
      <c r="B75" s="8" t="inlineStr"/>
      <c r="C75" s="17" t="inlineStr"/>
      <c r="D75" s="6" t="n"/>
      <c r="E75" s="6" t="n"/>
      <c r="F75" s="6" t="n"/>
      <c r="G75" s="6" t="n"/>
    </row>
    <row r="76" ht="26" customHeight="1">
      <c r="A76" s="7" t="inlineStr"/>
      <c r="B76" s="8" t="inlineStr"/>
      <c r="C76" s="17" t="inlineStr"/>
      <c r="D76" s="6" t="n"/>
      <c r="E76" s="6" t="n"/>
      <c r="F76" s="6" t="n"/>
      <c r="G76" s="6" t="n"/>
    </row>
    <row r="77" ht="26" customHeight="1">
      <c r="A77" s="7" t="inlineStr"/>
      <c r="B77" s="8" t="inlineStr"/>
      <c r="C77" s="17" t="inlineStr"/>
      <c r="D77" s="6" t="n"/>
      <c r="E77" s="6" t="n"/>
      <c r="F77" s="6" t="n"/>
      <c r="G77" s="6" t="n"/>
    </row>
    <row r="78" ht="26" customHeight="1">
      <c r="A78" s="7" t="inlineStr"/>
      <c r="B78" s="8" t="inlineStr"/>
      <c r="C78" s="17" t="inlineStr"/>
      <c r="D78" s="6" t="n"/>
      <c r="E78" s="6" t="n"/>
      <c r="F78" s="6" t="n"/>
      <c r="G78" s="6" t="n"/>
    </row>
    <row r="79" ht="26" customHeight="1">
      <c r="A79" s="7" t="inlineStr"/>
      <c r="B79" s="8" t="inlineStr"/>
      <c r="C79" s="17" t="inlineStr"/>
      <c r="D79" s="6" t="n"/>
      <c r="E79" s="6" t="n"/>
      <c r="F79" s="6" t="n"/>
      <c r="G79" s="6" t="n"/>
    </row>
    <row r="80" ht="26" customHeight="1">
      <c r="A80" s="7" t="inlineStr"/>
      <c r="B80" s="8" t="inlineStr"/>
      <c r="C80" s="17" t="inlineStr"/>
      <c r="D80" s="6" t="n"/>
      <c r="E80" s="6" t="n"/>
      <c r="F80" s="6" t="n"/>
      <c r="G80" s="6" t="n"/>
    </row>
    <row r="81" ht="26" customHeight="1">
      <c r="A81" s="7" t="inlineStr"/>
      <c r="B81" s="8" t="inlineStr"/>
      <c r="C81" s="17" t="inlineStr"/>
      <c r="D81" s="6" t="n"/>
      <c r="E81" s="6" t="n"/>
      <c r="F81" s="6" t="n"/>
      <c r="G81" s="6" t="n"/>
    </row>
    <row r="82" ht="26" customHeight="1">
      <c r="A82" s="7" t="inlineStr"/>
      <c r="B82" s="8" t="inlineStr"/>
      <c r="C82" s="17" t="inlineStr"/>
      <c r="D82" s="6" t="n"/>
      <c r="E82" s="6" t="n"/>
      <c r="F82" s="6" t="n"/>
      <c r="G82" s="6" t="n"/>
    </row>
    <row r="83" ht="26" customHeight="1">
      <c r="A83" s="7" t="inlineStr"/>
      <c r="B83" s="8" t="inlineStr"/>
      <c r="C83" s="17" t="inlineStr"/>
      <c r="D83" s="6" t="n"/>
      <c r="E83" s="6" t="n"/>
      <c r="F83" s="6" t="n"/>
      <c r="G83" s="6" t="n"/>
    </row>
    <row r="84" ht="26" customHeight="1">
      <c r="A84" s="7" t="inlineStr"/>
      <c r="B84" s="8" t="inlineStr"/>
      <c r="C84" s="17" t="inlineStr"/>
      <c r="D84" s="6" t="n"/>
      <c r="E84" s="6" t="n"/>
      <c r="F84" s="6" t="n"/>
      <c r="G84" s="6" t="n"/>
    </row>
    <row r="85" ht="26" customHeight="1">
      <c r="A85" s="7" t="inlineStr"/>
      <c r="B85" s="8" t="inlineStr"/>
      <c r="C85" s="17" t="inlineStr"/>
      <c r="D85" s="6" t="n"/>
      <c r="E85" s="6" t="n"/>
      <c r="F85" s="6" t="n"/>
      <c r="G85" s="6" t="n"/>
    </row>
    <row r="86" ht="26" customHeight="1">
      <c r="A86" s="7" t="inlineStr"/>
      <c r="B86" s="8" t="inlineStr"/>
      <c r="C86" s="17" t="inlineStr"/>
      <c r="D86" s="6" t="n"/>
      <c r="E86" s="6" t="n"/>
      <c r="F86" s="6" t="n"/>
      <c r="G86" s="6" t="n"/>
    </row>
    <row r="87" ht="26" customHeight="1">
      <c r="A87" s="7" t="inlineStr"/>
      <c r="B87" s="8" t="inlineStr"/>
      <c r="C87" s="17" t="inlineStr"/>
      <c r="D87" s="6" t="n"/>
      <c r="E87" s="6" t="n"/>
      <c r="F87" s="6" t="n"/>
      <c r="G87" s="6" t="n"/>
    </row>
    <row r="88" ht="26" customHeight="1">
      <c r="A88" s="7" t="inlineStr"/>
      <c r="B88" s="8" t="inlineStr"/>
      <c r="C88" s="17" t="inlineStr"/>
      <c r="D88" s="6" t="n"/>
      <c r="E88" s="6" t="n"/>
      <c r="F88" s="6" t="n"/>
      <c r="G88" s="6" t="n"/>
    </row>
    <row r="89" ht="26" customHeight="1">
      <c r="A89" s="7" t="inlineStr"/>
      <c r="B89" s="8" t="inlineStr"/>
      <c r="C89" s="17" t="inlineStr"/>
      <c r="D89" s="6" t="n"/>
      <c r="E89" s="6" t="n"/>
      <c r="F89" s="6" t="n"/>
      <c r="G89" s="6" t="n"/>
    </row>
    <row r="90" ht="26" customHeight="1">
      <c r="A90" s="7" t="inlineStr"/>
      <c r="B90" s="8" t="inlineStr"/>
      <c r="C90" s="17" t="inlineStr"/>
      <c r="D90" s="6" t="n"/>
      <c r="E90" s="6" t="n"/>
      <c r="F90" s="6" t="n"/>
      <c r="G90" s="6" t="n"/>
    </row>
    <row r="91" ht="26" customHeight="1">
      <c r="A91" s="7" t="inlineStr"/>
      <c r="B91" s="8" t="inlineStr"/>
      <c r="C91" s="17" t="inlineStr"/>
      <c r="D91" s="6" t="n"/>
      <c r="E91" s="6" t="n"/>
      <c r="F91" s="6" t="n"/>
      <c r="G91" s="6" t="n"/>
    </row>
    <row r="92" ht="26" customHeight="1">
      <c r="A92" s="7" t="inlineStr"/>
      <c r="B92" s="8" t="inlineStr"/>
      <c r="C92" s="17" t="inlineStr"/>
      <c r="D92" s="6" t="n"/>
      <c r="E92" s="6" t="n"/>
      <c r="F92" s="6" t="n"/>
      <c r="G92" s="6" t="n"/>
    </row>
    <row r="93" ht="26" customHeight="1">
      <c r="A93" s="7" t="inlineStr"/>
      <c r="B93" s="8" t="inlineStr"/>
      <c r="C93" s="17" t="inlineStr"/>
      <c r="D93" s="6" t="n"/>
      <c r="E93" s="6" t="n"/>
      <c r="F93" s="6" t="n"/>
      <c r="G93" s="6" t="n"/>
    </row>
    <row r="94" ht="26" customHeight="1">
      <c r="A94" s="7" t="inlineStr"/>
      <c r="B94" s="8" t="inlineStr"/>
      <c r="C94" s="17" t="inlineStr"/>
      <c r="D94" s="6" t="n"/>
      <c r="E94" s="6" t="n"/>
      <c r="F94" s="6" t="n"/>
      <c r="G94" s="6" t="n"/>
    </row>
    <row r="95" ht="26" customHeight="1">
      <c r="A95" s="7" t="inlineStr"/>
      <c r="B95" s="8" t="inlineStr"/>
      <c r="C95" s="17" t="inlineStr"/>
      <c r="D95" s="6" t="n"/>
      <c r="E95" s="6" t="n"/>
      <c r="F95" s="6" t="n"/>
      <c r="G95" s="6" t="n"/>
    </row>
    <row r="96" ht="26" customHeight="1">
      <c r="A96" s="7" t="inlineStr"/>
      <c r="B96" s="8" t="inlineStr"/>
      <c r="C96" s="17" t="inlineStr"/>
      <c r="D96" s="6" t="n"/>
      <c r="E96" s="6" t="n"/>
      <c r="F96" s="6" t="n"/>
      <c r="G96" s="6" t="n"/>
    </row>
    <row r="97" ht="26" customHeight="1">
      <c r="A97" s="7" t="inlineStr"/>
      <c r="B97" s="8" t="inlineStr"/>
      <c r="C97" s="17" t="inlineStr"/>
      <c r="D97" s="6" t="n"/>
      <c r="E97" s="6" t="n"/>
      <c r="F97" s="6" t="n"/>
      <c r="G97" s="6" t="n"/>
    </row>
    <row r="98" ht="26" customHeight="1">
      <c r="A98" s="7" t="inlineStr"/>
      <c r="B98" s="8" t="inlineStr"/>
      <c r="C98" s="17" t="inlineStr"/>
      <c r="D98" s="6" t="n"/>
      <c r="E98" s="6" t="n"/>
      <c r="F98" s="6" t="n"/>
      <c r="G98" s="6" t="n"/>
    </row>
    <row r="99" ht="26" customHeight="1">
      <c r="A99" s="7" t="inlineStr"/>
      <c r="B99" s="8" t="inlineStr"/>
      <c r="C99" s="17" t="inlineStr"/>
      <c r="D99" s="6" t="n"/>
      <c r="E99" s="6" t="n"/>
      <c r="F99" s="6" t="n"/>
      <c r="G99" s="6" t="n"/>
    </row>
    <row r="100" ht="26" customHeight="1">
      <c r="A100" s="7" t="inlineStr"/>
      <c r="B100" s="8" t="inlineStr"/>
      <c r="C100" s="17" t="inlineStr"/>
      <c r="D100" s="6" t="n"/>
      <c r="E100" s="6" t="n"/>
      <c r="F100" s="6" t="n"/>
      <c r="G100" s="6" t="n"/>
    </row>
    <row r="101" ht="26" customHeight="1">
      <c r="A101" s="7" t="inlineStr"/>
      <c r="B101" s="8" t="inlineStr"/>
      <c r="C101" s="17" t="inlineStr"/>
      <c r="D101" s="6" t="n"/>
      <c r="E101" s="6" t="n"/>
      <c r="F101" s="6" t="n"/>
      <c r="G101" s="6" t="n"/>
    </row>
    <row r="102" ht="26" customHeight="1">
      <c r="A102" s="7" t="inlineStr"/>
      <c r="B102" s="8" t="inlineStr"/>
      <c r="C102" s="17" t="inlineStr"/>
      <c r="D102" s="6" t="n"/>
      <c r="E102" s="6" t="n"/>
      <c r="F102" s="6" t="n"/>
      <c r="G102" s="6" t="n"/>
    </row>
    <row r="103" ht="26" customHeight="1">
      <c r="A103" s="7" t="inlineStr"/>
      <c r="B103" s="8" t="inlineStr"/>
      <c r="C103" s="17" t="inlineStr"/>
      <c r="D103" s="6" t="n"/>
      <c r="E103" s="6" t="n"/>
      <c r="F103" s="6" t="n"/>
      <c r="G103" s="6" t="n"/>
    </row>
    <row r="104" ht="26" customHeight="1">
      <c r="A104" s="7" t="inlineStr"/>
      <c r="B104" s="8" t="inlineStr"/>
      <c r="C104" s="17" t="inlineStr"/>
      <c r="D104" s="6" t="n"/>
      <c r="E104" s="6" t="n"/>
      <c r="F104" s="6" t="n"/>
      <c r="G104" s="6" t="n"/>
    </row>
    <row r="105" ht="26" customHeight="1">
      <c r="A105" s="7" t="inlineStr"/>
      <c r="B105" s="8" t="inlineStr"/>
      <c r="C105" s="17" t="inlineStr"/>
      <c r="D105" s="6" t="n"/>
      <c r="E105" s="6" t="n"/>
      <c r="F105" s="6" t="n"/>
      <c r="G105" s="6" t="n"/>
    </row>
    <row r="106" ht="26" customHeight="1">
      <c r="A106" s="7" t="inlineStr"/>
      <c r="B106" s="8" t="inlineStr"/>
      <c r="C106" s="17" t="inlineStr"/>
      <c r="D106" s="6" t="n"/>
      <c r="E106" s="6" t="n"/>
      <c r="F106" s="6" t="n"/>
      <c r="G106" s="6" t="n"/>
    </row>
    <row r="107" ht="26" customHeight="1">
      <c r="A107" s="7" t="inlineStr"/>
      <c r="B107" s="8" t="inlineStr"/>
      <c r="C107" s="17" t="inlineStr"/>
      <c r="D107" s="6" t="n"/>
      <c r="E107" s="6" t="n"/>
      <c r="F107" s="6" t="n"/>
      <c r="G107" s="6" t="n"/>
    </row>
    <row r="108" ht="26" customHeight="1">
      <c r="A108" s="7" t="inlineStr"/>
      <c r="B108" s="8" t="inlineStr"/>
      <c r="C108" s="17" t="inlineStr"/>
      <c r="D108" s="6" t="n"/>
      <c r="E108" s="6" t="n"/>
      <c r="F108" s="6" t="n"/>
      <c r="G108" s="6" t="n"/>
    </row>
    <row r="109" ht="26" customHeight="1">
      <c r="A109" s="7" t="inlineStr"/>
      <c r="B109" s="8" t="inlineStr"/>
      <c r="C109" s="17" t="inlineStr"/>
      <c r="D109" s="6" t="n"/>
      <c r="E109" s="6" t="n"/>
      <c r="F109" s="6" t="n"/>
      <c r="G109" s="6" t="n"/>
    </row>
    <row r="110" ht="26" customHeight="1">
      <c r="A110" s="7" t="inlineStr"/>
      <c r="B110" s="8" t="inlineStr"/>
      <c r="C110" s="17" t="inlineStr"/>
      <c r="D110" s="6" t="n"/>
      <c r="E110" s="6" t="n"/>
      <c r="F110" s="6" t="n"/>
      <c r="G110" s="6" t="n"/>
    </row>
    <row r="111" ht="26" customHeight="1">
      <c r="A111" s="7" t="inlineStr"/>
      <c r="B111" s="8" t="inlineStr"/>
      <c r="C111" s="17" t="inlineStr"/>
      <c r="D111" s="6" t="n"/>
      <c r="E111" s="6" t="n"/>
      <c r="F111" s="6" t="n"/>
      <c r="G111" s="6" t="n"/>
    </row>
    <row r="112" ht="26" customHeight="1">
      <c r="A112" s="7" t="inlineStr"/>
      <c r="B112" s="8" t="inlineStr"/>
      <c r="C112" s="17" t="inlineStr"/>
      <c r="D112" s="6" t="n"/>
      <c r="E112" s="6" t="n"/>
      <c r="F112" s="6" t="n"/>
      <c r="G112" s="6" t="n"/>
    </row>
    <row r="113" ht="26" customHeight="1">
      <c r="A113" s="7" t="inlineStr"/>
      <c r="B113" s="8" t="inlineStr"/>
      <c r="C113" s="17" t="inlineStr"/>
      <c r="D113" s="6" t="n"/>
      <c r="E113" s="6" t="n"/>
      <c r="F113" s="6" t="n"/>
      <c r="G113" s="6" t="n"/>
    </row>
    <row r="114" ht="26" customHeight="1">
      <c r="A114" s="7" t="inlineStr"/>
      <c r="B114" s="8" t="inlineStr"/>
      <c r="C114" s="17" t="inlineStr"/>
      <c r="D114" s="6" t="n"/>
      <c r="E114" s="6" t="n"/>
      <c r="F114" s="6" t="n"/>
      <c r="G114" s="6" t="n"/>
    </row>
    <row r="115" ht="26" customHeight="1">
      <c r="A115" s="7" t="inlineStr"/>
      <c r="B115" s="8" t="inlineStr"/>
      <c r="C115" s="17" t="inlineStr"/>
      <c r="D115" s="6" t="n"/>
      <c r="E115" s="6" t="n"/>
      <c r="F115" s="6" t="n"/>
      <c r="G115" s="6" t="n"/>
    </row>
    <row r="116" ht="26" customHeight="1">
      <c r="A116" s="7" t="inlineStr"/>
      <c r="B116" s="8" t="inlineStr"/>
      <c r="C116" s="17" t="inlineStr"/>
      <c r="D116" s="6" t="n"/>
      <c r="E116" s="6" t="n"/>
      <c r="F116" s="6" t="n"/>
      <c r="G116" s="6" t="n"/>
    </row>
    <row r="117" ht="26" customHeight="1">
      <c r="A117" s="7" t="inlineStr"/>
      <c r="B117" s="8" t="inlineStr"/>
      <c r="C117" s="17" t="inlineStr"/>
      <c r="D117" s="6" t="n"/>
      <c r="E117" s="6" t="n"/>
      <c r="F117" s="6" t="n"/>
      <c r="G117" s="6" t="n"/>
    </row>
    <row r="118" ht="26" customHeight="1">
      <c r="A118" s="7" t="inlineStr"/>
      <c r="B118" s="8" t="inlineStr"/>
      <c r="C118" s="17" t="inlineStr"/>
      <c r="D118" s="6" t="n"/>
      <c r="E118" s="6" t="n"/>
      <c r="F118" s="6" t="n"/>
      <c r="G118" s="6" t="n"/>
    </row>
    <row r="119" ht="26" customHeight="1">
      <c r="A119" s="7" t="inlineStr"/>
      <c r="B119" s="8" t="inlineStr"/>
      <c r="C119" s="17" t="inlineStr"/>
      <c r="D119" s="6" t="n"/>
      <c r="E119" s="6" t="n"/>
      <c r="F119" s="6" t="n"/>
      <c r="G119" s="6" t="n"/>
    </row>
    <row r="120" ht="26" customHeight="1">
      <c r="A120" s="7" t="inlineStr"/>
      <c r="B120" s="8" t="inlineStr"/>
      <c r="C120" s="17" t="inlineStr"/>
      <c r="D120" s="6" t="n"/>
      <c r="E120" s="6" t="n"/>
      <c r="F120" s="6" t="n"/>
      <c r="G120" s="6" t="n"/>
    </row>
    <row r="121" ht="26" customHeight="1">
      <c r="A121" s="7" t="inlineStr"/>
      <c r="B121" s="8" t="inlineStr"/>
      <c r="C121" s="17" t="inlineStr"/>
      <c r="D121" s="6" t="n"/>
      <c r="E121" s="6" t="n"/>
      <c r="F121" s="6" t="n"/>
      <c r="G121" s="6" t="n"/>
    </row>
    <row r="122" ht="26" customHeight="1">
      <c r="A122" s="7" t="inlineStr"/>
      <c r="B122" s="8" t="inlineStr"/>
      <c r="C122" s="17" t="inlineStr"/>
      <c r="D122" s="6" t="n"/>
      <c r="E122" s="6" t="n"/>
      <c r="F122" s="6" t="n"/>
      <c r="G122" s="6" t="n"/>
    </row>
    <row r="123" ht="26" customHeight="1">
      <c r="A123" s="7" t="inlineStr"/>
      <c r="B123" s="8" t="inlineStr"/>
      <c r="C123" s="17" t="inlineStr"/>
      <c r="D123" s="6" t="n"/>
      <c r="E123" s="6" t="n"/>
      <c r="F123" s="6" t="n"/>
      <c r="G123" s="6" t="n"/>
    </row>
    <row r="124" ht="26" customHeight="1">
      <c r="A124" s="7" t="inlineStr"/>
      <c r="B124" s="8" t="inlineStr"/>
      <c r="C124" s="17" t="inlineStr"/>
      <c r="D124" s="6" t="n"/>
      <c r="E124" s="6" t="n"/>
      <c r="F124" s="6" t="n"/>
      <c r="G124" s="6" t="n"/>
    </row>
    <row r="125" ht="26" customHeight="1">
      <c r="A125" s="7" t="inlineStr"/>
      <c r="B125" s="8" t="inlineStr"/>
      <c r="C125" s="17" t="inlineStr"/>
      <c r="D125" s="6" t="n"/>
      <c r="E125" s="6" t="n"/>
      <c r="F125" s="6" t="n"/>
      <c r="G125" s="6" t="n"/>
    </row>
    <row r="126" ht="26" customHeight="1">
      <c r="A126" s="7" t="inlineStr"/>
      <c r="B126" s="8" t="inlineStr"/>
      <c r="C126" s="17" t="inlineStr"/>
      <c r="D126" s="6" t="n"/>
      <c r="E126" s="6" t="n"/>
      <c r="F126" s="6" t="n"/>
      <c r="G126" s="6" t="n"/>
    </row>
    <row r="127" ht="26" customHeight="1">
      <c r="A127" s="7" t="inlineStr"/>
      <c r="B127" s="8" t="inlineStr"/>
      <c r="C127" s="17" t="inlineStr"/>
      <c r="D127" s="6" t="n"/>
      <c r="E127" s="6" t="n"/>
      <c r="F127" s="6" t="n"/>
      <c r="G127" s="6" t="n"/>
    </row>
    <row r="128" ht="26" customHeight="1">
      <c r="A128" s="7" t="inlineStr"/>
      <c r="B128" s="8" t="inlineStr"/>
      <c r="C128" s="17" t="inlineStr"/>
      <c r="D128" s="6" t="n"/>
      <c r="E128" s="6" t="n"/>
      <c r="F128" s="6" t="n"/>
      <c r="G128" s="6" t="n"/>
    </row>
    <row r="129" ht="26" customHeight="1">
      <c r="A129" s="7" t="inlineStr"/>
      <c r="B129" s="8" t="inlineStr"/>
      <c r="C129" s="17" t="inlineStr"/>
      <c r="D129" s="6" t="n"/>
      <c r="E129" s="6" t="n"/>
      <c r="F129" s="6" t="n"/>
      <c r="G129" s="6" t="n"/>
    </row>
    <row r="130" ht="26" customHeight="1">
      <c r="A130" s="7" t="inlineStr"/>
      <c r="B130" s="8" t="inlineStr"/>
      <c r="C130" s="17" t="inlineStr"/>
      <c r="D130" s="6" t="n"/>
      <c r="E130" s="6" t="n"/>
      <c r="F130" s="6" t="n"/>
      <c r="G130" s="6" t="n"/>
    </row>
    <row r="131" ht="26" customHeight="1">
      <c r="A131" s="7" t="inlineStr"/>
      <c r="B131" s="8" t="inlineStr"/>
      <c r="C131" s="17" t="inlineStr"/>
      <c r="D131" s="6" t="n"/>
      <c r="E131" s="6" t="n"/>
      <c r="F131" s="6" t="n"/>
      <c r="G131" s="6" t="n"/>
    </row>
    <row r="132" ht="26" customHeight="1">
      <c r="A132" s="7" t="inlineStr"/>
      <c r="B132" s="8" t="inlineStr"/>
      <c r="C132" s="17" t="inlineStr"/>
      <c r="D132" s="6" t="n"/>
      <c r="E132" s="6" t="n"/>
      <c r="F132" s="6" t="n"/>
      <c r="G132" s="6" t="n"/>
    </row>
    <row r="133" ht="26" customHeight="1">
      <c r="A133" s="7" t="inlineStr"/>
      <c r="B133" s="8" t="inlineStr"/>
      <c r="C133" s="17" t="inlineStr"/>
      <c r="D133" s="6" t="n"/>
      <c r="E133" s="6" t="n"/>
      <c r="F133" s="6" t="n"/>
      <c r="G133" s="6" t="n"/>
    </row>
    <row r="134" ht="26" customHeight="1">
      <c r="A134" s="7" t="inlineStr"/>
      <c r="B134" s="8" t="inlineStr"/>
      <c r="C134" s="17" t="inlineStr"/>
      <c r="D134" s="6" t="n"/>
      <c r="E134" s="6" t="n"/>
      <c r="F134" s="6" t="n"/>
      <c r="G134" s="6" t="n"/>
    </row>
    <row r="135" ht="26" customHeight="1">
      <c r="A135" s="7" t="inlineStr"/>
      <c r="B135" s="8" t="inlineStr"/>
      <c r="C135" s="17" t="inlineStr"/>
      <c r="D135" s="6" t="n"/>
      <c r="E135" s="6" t="n"/>
      <c r="F135" s="6" t="n"/>
      <c r="G135" s="6" t="n"/>
    </row>
    <row r="136" ht="26" customHeight="1">
      <c r="A136" s="7" t="inlineStr"/>
      <c r="B136" s="8" t="inlineStr"/>
      <c r="C136" s="17" t="inlineStr"/>
      <c r="D136" s="6" t="n"/>
      <c r="E136" s="6" t="n"/>
      <c r="F136" s="6" t="n"/>
      <c r="G136" s="6" t="n"/>
    </row>
    <row r="137" ht="26" customHeight="1">
      <c r="A137" s="7" t="inlineStr"/>
      <c r="B137" s="8" t="inlineStr"/>
      <c r="C137" s="17" t="inlineStr"/>
      <c r="D137" s="6" t="n"/>
      <c r="E137" s="6" t="n"/>
      <c r="F137" s="6" t="n"/>
      <c r="G137" s="6" t="n"/>
    </row>
    <row r="138" ht="26" customHeight="1">
      <c r="A138" s="7" t="inlineStr"/>
      <c r="B138" s="8" t="inlineStr"/>
      <c r="C138" s="17" t="inlineStr"/>
      <c r="D138" s="6" t="n"/>
      <c r="E138" s="6" t="n"/>
      <c r="F138" s="6" t="n"/>
      <c r="G138" s="6" t="n"/>
    </row>
    <row r="139" ht="26" customHeight="1">
      <c r="A139" s="7" t="inlineStr"/>
      <c r="B139" s="8" t="inlineStr"/>
      <c r="C139" s="17" t="inlineStr"/>
      <c r="D139" s="6" t="n"/>
      <c r="E139" s="6" t="n"/>
      <c r="F139" s="6" t="n"/>
      <c r="G139" s="6" t="n"/>
    </row>
    <row r="140" ht="26" customHeight="1">
      <c r="A140" s="7" t="inlineStr"/>
      <c r="B140" s="8" t="inlineStr"/>
      <c r="C140" s="17" t="inlineStr"/>
      <c r="D140" s="6" t="n"/>
      <c r="E140" s="6" t="n"/>
      <c r="F140" s="6" t="n"/>
      <c r="G140" s="6" t="n"/>
    </row>
    <row r="141" ht="26" customHeight="1">
      <c r="A141" s="7" t="inlineStr"/>
      <c r="B141" s="8" t="inlineStr"/>
      <c r="C141" s="17" t="inlineStr"/>
      <c r="D141" s="6" t="n"/>
      <c r="E141" s="6" t="n"/>
      <c r="F141" s="6" t="n"/>
      <c r="G141" s="6" t="n"/>
    </row>
    <row r="142" ht="26" customHeight="1">
      <c r="A142" s="7" t="inlineStr"/>
      <c r="B142" s="8" t="inlineStr"/>
      <c r="C142" s="17" t="inlineStr"/>
      <c r="D142" s="6" t="n"/>
      <c r="E142" s="6" t="n"/>
      <c r="F142" s="6" t="n"/>
      <c r="G142" s="6" t="n"/>
    </row>
    <row r="143" ht="26" customHeight="1">
      <c r="A143" s="7" t="inlineStr"/>
      <c r="B143" s="8" t="inlineStr"/>
      <c r="C143" s="17" t="inlineStr"/>
      <c r="D143" s="6" t="n"/>
      <c r="E143" s="6" t="n"/>
      <c r="F143" s="6" t="n"/>
      <c r="G143" s="6" t="n"/>
    </row>
    <row r="144" ht="26" customHeight="1">
      <c r="A144" s="7" t="inlineStr"/>
      <c r="B144" s="8" t="inlineStr"/>
      <c r="C144" s="17" t="inlineStr"/>
      <c r="D144" s="6" t="n"/>
      <c r="E144" s="6" t="n"/>
      <c r="F144" s="6" t="n"/>
      <c r="G144" s="6" t="n"/>
    </row>
    <row r="145" ht="26" customHeight="1">
      <c r="A145" s="7" t="inlineStr"/>
      <c r="B145" s="8" t="inlineStr"/>
      <c r="C145" s="17" t="inlineStr"/>
      <c r="D145" s="6" t="n"/>
      <c r="E145" s="6" t="n"/>
      <c r="F145" s="6" t="n"/>
      <c r="G145" s="6" t="n"/>
    </row>
    <row r="146" ht="26" customHeight="1">
      <c r="A146" s="7" t="inlineStr"/>
      <c r="B146" s="8" t="inlineStr"/>
      <c r="C146" s="17" t="inlineStr"/>
      <c r="D146" s="6" t="n"/>
      <c r="E146" s="6" t="n"/>
      <c r="F146" s="6" t="n"/>
      <c r="G146" s="6" t="n"/>
    </row>
    <row r="147" ht="26" customHeight="1">
      <c r="A147" s="7" t="inlineStr"/>
      <c r="B147" s="8" t="inlineStr"/>
      <c r="C147" s="17" t="inlineStr"/>
      <c r="D147" s="6" t="n"/>
      <c r="E147" s="6" t="n"/>
      <c r="F147" s="6" t="n"/>
      <c r="G147" s="6" t="n"/>
    </row>
    <row r="148" ht="26" customHeight="1">
      <c r="A148" s="7" t="inlineStr"/>
      <c r="B148" s="8" t="inlineStr"/>
      <c r="C148" s="17" t="inlineStr"/>
      <c r="D148" s="6" t="n"/>
      <c r="E148" s="6" t="n"/>
      <c r="F148" s="6" t="n"/>
      <c r="G148" s="6" t="n"/>
    </row>
    <row r="149" ht="26" customHeight="1">
      <c r="A149" s="7" t="inlineStr"/>
      <c r="B149" s="8" t="inlineStr"/>
      <c r="C149" s="17" t="inlineStr"/>
      <c r="D149" s="6" t="n"/>
      <c r="E149" s="6" t="n"/>
      <c r="F149" s="6" t="n"/>
      <c r="G149" s="6" t="n"/>
    </row>
    <row r="150" ht="26" customHeight="1">
      <c r="A150" s="7" t="inlineStr"/>
      <c r="B150" s="8" t="inlineStr"/>
      <c r="C150" s="17" t="inlineStr"/>
      <c r="D150" s="6" t="n"/>
      <c r="E150" s="6" t="n"/>
      <c r="F150" s="6" t="n"/>
      <c r="G150" s="6" t="n"/>
    </row>
    <row r="151" ht="26" customHeight="1">
      <c r="A151" s="7" t="inlineStr"/>
      <c r="B151" s="8" t="inlineStr"/>
      <c r="C151" s="17" t="inlineStr"/>
      <c r="D151" s="6" t="n"/>
      <c r="E151" s="6" t="n"/>
      <c r="F151" s="6" t="n"/>
      <c r="G151" s="6" t="n"/>
    </row>
    <row r="152" ht="26" customHeight="1">
      <c r="A152" s="7" t="inlineStr"/>
      <c r="B152" s="8" t="inlineStr"/>
      <c r="C152" s="17" t="inlineStr"/>
      <c r="D152" s="6" t="n"/>
      <c r="E152" s="6" t="n"/>
      <c r="F152" s="6" t="n"/>
      <c r="G152" s="6" t="n"/>
    </row>
    <row r="153" ht="26" customHeight="1">
      <c r="A153" s="7" t="inlineStr"/>
      <c r="B153" s="8" t="inlineStr"/>
      <c r="C153" s="17" t="inlineStr"/>
      <c r="D153" s="6" t="n"/>
      <c r="E153" s="6" t="n"/>
      <c r="F153" s="6" t="n"/>
      <c r="G153" s="6" t="n"/>
    </row>
    <row r="154" ht="26" customHeight="1">
      <c r="A154" s="7" t="inlineStr"/>
      <c r="B154" s="8" t="inlineStr"/>
      <c r="C154" s="17" t="inlineStr"/>
      <c r="D154" s="6" t="n"/>
      <c r="E154" s="6" t="n"/>
      <c r="F154" s="6" t="n"/>
      <c r="G154" s="6" t="n"/>
    </row>
    <row r="155" ht="26" customHeight="1">
      <c r="A155" s="7" t="inlineStr"/>
      <c r="B155" s="8" t="inlineStr"/>
      <c r="C155" s="17" t="inlineStr"/>
      <c r="D155" s="6" t="n"/>
      <c r="E155" s="6" t="n"/>
      <c r="F155" s="6" t="n"/>
      <c r="G155" s="6" t="n"/>
    </row>
    <row r="156" ht="26" customHeight="1">
      <c r="A156" s="7" t="inlineStr"/>
      <c r="B156" s="8" t="inlineStr"/>
      <c r="C156" s="17" t="inlineStr"/>
      <c r="D156" s="6" t="n"/>
      <c r="E156" s="6" t="n"/>
      <c r="F156" s="6" t="n"/>
      <c r="G156" s="6" t="n"/>
    </row>
    <row r="157" ht="26" customHeight="1">
      <c r="A157" s="7" t="inlineStr"/>
      <c r="B157" s="8" t="inlineStr"/>
      <c r="C157" s="17" t="inlineStr"/>
      <c r="D157" s="6" t="n"/>
      <c r="E157" s="6" t="n"/>
      <c r="F157" s="6" t="n"/>
      <c r="G157" s="6" t="n"/>
    </row>
    <row r="158" ht="26" customHeight="1">
      <c r="A158" s="7" t="inlineStr"/>
      <c r="B158" s="8" t="inlineStr"/>
      <c r="C158" s="17" t="inlineStr"/>
      <c r="D158" s="6" t="n"/>
      <c r="E158" s="6" t="n"/>
      <c r="F158" s="6" t="n"/>
      <c r="G158" s="6" t="n"/>
    </row>
    <row r="159" ht="26" customHeight="1">
      <c r="A159" s="7" t="inlineStr"/>
      <c r="B159" s="8" t="inlineStr"/>
      <c r="C159" s="17" t="inlineStr"/>
      <c r="D159" s="6" t="n"/>
      <c r="E159" s="6" t="n"/>
      <c r="F159" s="6" t="n"/>
      <c r="G159" s="6" t="n"/>
    </row>
    <row r="160" ht="26" customHeight="1">
      <c r="A160" s="7" t="inlineStr"/>
      <c r="B160" s="8" t="inlineStr"/>
      <c r="C160" s="17" t="inlineStr"/>
      <c r="D160" s="6" t="n"/>
      <c r="E160" s="6" t="n"/>
      <c r="F160" s="6" t="n"/>
      <c r="G160" s="6" t="n"/>
    </row>
    <row r="161" ht="26" customHeight="1">
      <c r="A161" s="7" t="inlineStr"/>
      <c r="B161" s="8" t="inlineStr"/>
      <c r="C161" s="17" t="inlineStr"/>
      <c r="D161" s="6" t="n"/>
      <c r="E161" s="6" t="n"/>
      <c r="F161" s="6" t="n"/>
      <c r="G161" s="6" t="n"/>
    </row>
    <row r="162" ht="26" customHeight="1">
      <c r="A162" s="7" t="inlineStr"/>
      <c r="B162" s="8" t="inlineStr"/>
      <c r="C162" s="17" t="inlineStr"/>
      <c r="D162" s="6" t="n"/>
      <c r="E162" s="6" t="n"/>
      <c r="F162" s="6" t="n"/>
      <c r="G162" s="6" t="n"/>
    </row>
    <row r="163" ht="26" customHeight="1">
      <c r="A163" s="7" t="inlineStr"/>
      <c r="B163" s="8" t="inlineStr"/>
      <c r="C163" s="17" t="inlineStr"/>
      <c r="D163" s="6" t="n"/>
      <c r="E163" s="6" t="n"/>
      <c r="F163" s="6" t="n"/>
      <c r="G163" s="6" t="n"/>
    </row>
    <row r="164" ht="26" customHeight="1">
      <c r="A164" s="7" t="inlineStr"/>
      <c r="B164" s="8" t="inlineStr"/>
      <c r="C164" s="17" t="inlineStr"/>
      <c r="D164" s="6" t="n"/>
      <c r="E164" s="6" t="n"/>
      <c r="F164" s="6" t="n"/>
      <c r="G164" s="6" t="n"/>
    </row>
    <row r="165" ht="26" customHeight="1">
      <c r="A165" s="7" t="inlineStr"/>
      <c r="B165" s="8" t="inlineStr"/>
      <c r="C165" s="17" t="inlineStr"/>
      <c r="D165" s="6" t="n"/>
      <c r="E165" s="6" t="n"/>
      <c r="F165" s="6" t="n"/>
      <c r="G165" s="6" t="n"/>
    </row>
    <row r="166" ht="26" customHeight="1">
      <c r="A166" s="7" t="inlineStr"/>
      <c r="B166" s="8" t="inlineStr"/>
      <c r="C166" s="17" t="inlineStr"/>
      <c r="D166" s="6" t="n"/>
      <c r="E166" s="6" t="n"/>
      <c r="F166" s="6" t="n"/>
      <c r="G166" s="6" t="n"/>
    </row>
    <row r="167" ht="26" customHeight="1">
      <c r="A167" s="7" t="inlineStr"/>
      <c r="B167" s="8" t="inlineStr"/>
      <c r="C167" s="17" t="inlineStr"/>
      <c r="D167" s="6" t="n"/>
      <c r="E167" s="6" t="n"/>
      <c r="F167" s="6" t="n"/>
      <c r="G167" s="6" t="n"/>
    </row>
    <row r="168" ht="26" customHeight="1">
      <c r="A168" s="7" t="inlineStr"/>
      <c r="B168" s="8" t="inlineStr"/>
      <c r="C168" s="17" t="inlineStr"/>
      <c r="D168" s="6" t="n"/>
      <c r="E168" s="6" t="n"/>
      <c r="F168" s="6" t="n"/>
      <c r="G168" s="6" t="n"/>
    </row>
    <row r="169" ht="26" customHeight="1">
      <c r="A169" s="7" t="inlineStr"/>
      <c r="B169" s="8" t="inlineStr"/>
      <c r="C169" s="17" t="inlineStr"/>
      <c r="D169" s="6" t="n"/>
      <c r="E169" s="6" t="n"/>
      <c r="F169" s="6" t="n"/>
      <c r="G169" s="6" t="n"/>
    </row>
    <row r="170" ht="26" customHeight="1">
      <c r="A170" s="7" t="inlineStr"/>
      <c r="B170" s="8" t="inlineStr"/>
      <c r="C170" s="17" t="inlineStr"/>
      <c r="D170" s="6" t="n"/>
      <c r="E170" s="6" t="n"/>
      <c r="F170" s="6" t="n"/>
      <c r="G170" s="6" t="n"/>
    </row>
    <row r="171" ht="26" customHeight="1">
      <c r="A171" s="7" t="inlineStr"/>
      <c r="B171" s="8" t="inlineStr"/>
      <c r="C171" s="17" t="inlineStr"/>
      <c r="D171" s="6" t="n"/>
      <c r="E171" s="6" t="n"/>
      <c r="F171" s="6" t="n"/>
      <c r="G171" s="6" t="n"/>
    </row>
    <row r="172" ht="26" customHeight="1">
      <c r="A172" s="7" t="inlineStr"/>
      <c r="B172" s="8" t="inlineStr"/>
      <c r="C172" s="17" t="inlineStr"/>
      <c r="D172" s="6" t="n"/>
      <c r="E172" s="6" t="n"/>
      <c r="F172" s="6" t="n"/>
      <c r="G172" s="6" t="n"/>
    </row>
    <row r="173" ht="26" customHeight="1">
      <c r="A173" s="7" t="inlineStr"/>
      <c r="B173" s="8" t="inlineStr"/>
      <c r="C173" s="17" t="inlineStr"/>
      <c r="D173" s="6" t="n"/>
      <c r="E173" s="6" t="n"/>
      <c r="F173" s="6" t="n"/>
      <c r="G173" s="6" t="n"/>
    </row>
    <row r="174" ht="26" customHeight="1">
      <c r="A174" s="7" t="inlineStr"/>
      <c r="B174" s="8" t="inlineStr"/>
      <c r="C174" s="17" t="inlineStr"/>
      <c r="D174" s="6" t="n"/>
      <c r="E174" s="6" t="n"/>
      <c r="F174" s="6" t="n"/>
      <c r="G174" s="6" t="n"/>
    </row>
    <row r="175" ht="26" customHeight="1">
      <c r="A175" s="7" t="inlineStr"/>
      <c r="B175" s="8" t="inlineStr"/>
      <c r="C175" s="17" t="inlineStr"/>
      <c r="D175" s="6" t="n"/>
      <c r="E175" s="6" t="n"/>
      <c r="F175" s="6" t="n"/>
      <c r="G175" s="6" t="n"/>
    </row>
    <row r="176" ht="26" customHeight="1">
      <c r="A176" s="7" t="inlineStr"/>
      <c r="B176" s="8" t="inlineStr"/>
      <c r="C176" s="17" t="inlineStr"/>
      <c r="D176" s="6" t="n"/>
      <c r="E176" s="6" t="n"/>
      <c r="F176" s="6" t="n"/>
      <c r="G176" s="6" t="n"/>
    </row>
    <row r="177" ht="26" customHeight="1">
      <c r="A177" s="7" t="inlineStr"/>
      <c r="B177" s="8" t="inlineStr"/>
      <c r="C177" s="17" t="inlineStr"/>
      <c r="D177" s="6" t="n"/>
      <c r="E177" s="6" t="n"/>
      <c r="F177" s="6" t="n"/>
      <c r="G177" s="6" t="n"/>
    </row>
    <row r="178" ht="26" customHeight="1">
      <c r="A178" s="7" t="inlineStr"/>
      <c r="B178" s="8" t="inlineStr"/>
      <c r="C178" s="17" t="inlineStr"/>
      <c r="D178" s="6" t="n"/>
      <c r="E178" s="6" t="n"/>
      <c r="F178" s="6" t="n"/>
      <c r="G178" s="6" t="n"/>
    </row>
    <row r="179" ht="26" customHeight="1">
      <c r="A179" s="7" t="inlineStr"/>
      <c r="B179" s="8" t="inlineStr"/>
      <c r="C179" s="17" t="inlineStr"/>
      <c r="D179" s="6" t="n"/>
      <c r="E179" s="6" t="n"/>
      <c r="F179" s="6" t="n"/>
      <c r="G179" s="6" t="n"/>
    </row>
    <row r="180" ht="26" customHeight="1">
      <c r="A180" s="7" t="inlineStr"/>
      <c r="B180" s="8" t="inlineStr"/>
      <c r="C180" s="17" t="inlineStr"/>
      <c r="D180" s="6" t="n"/>
      <c r="E180" s="6" t="n"/>
      <c r="F180" s="6" t="n"/>
      <c r="G180" s="6" t="n"/>
    </row>
    <row r="181" ht="26" customHeight="1">
      <c r="A181" s="7" t="inlineStr"/>
      <c r="B181" s="8" t="inlineStr"/>
      <c r="C181" s="17" t="inlineStr"/>
      <c r="D181" s="6" t="n"/>
      <c r="E181" s="6" t="n"/>
      <c r="F181" s="6" t="n"/>
      <c r="G181" s="6" t="n"/>
    </row>
    <row r="182" ht="26" customHeight="1">
      <c r="A182" s="7" t="inlineStr"/>
      <c r="B182" s="8" t="inlineStr"/>
      <c r="C182" s="17" t="inlineStr"/>
      <c r="D182" s="6" t="n"/>
      <c r="E182" s="6" t="n"/>
      <c r="F182" s="6" t="n"/>
      <c r="G182" s="6" t="n"/>
    </row>
    <row r="183" ht="26" customHeight="1">
      <c r="A183" s="7" t="inlineStr"/>
      <c r="B183" s="8" t="inlineStr"/>
      <c r="C183" s="17" t="inlineStr"/>
      <c r="D183" s="6" t="n"/>
      <c r="E183" s="6" t="n"/>
      <c r="F183" s="6" t="n"/>
      <c r="G183" s="6" t="n"/>
    </row>
    <row r="184" ht="26" customHeight="1">
      <c r="A184" s="7" t="inlineStr"/>
      <c r="B184" s="8" t="inlineStr"/>
      <c r="C184" s="17" t="inlineStr"/>
      <c r="D184" s="6" t="n"/>
      <c r="E184" s="6" t="n"/>
      <c r="F184" s="6" t="n"/>
      <c r="G184" s="6" t="n"/>
    </row>
    <row r="185" ht="26" customHeight="1">
      <c r="A185" s="7" t="inlineStr"/>
      <c r="B185" s="8" t="inlineStr"/>
      <c r="C185" s="17" t="inlineStr"/>
      <c r="D185" s="6" t="n"/>
      <c r="E185" s="6" t="n"/>
      <c r="F185" s="6" t="n"/>
      <c r="G185" s="6" t="n"/>
    </row>
    <row r="186" ht="26" customHeight="1">
      <c r="A186" s="7" t="inlineStr"/>
      <c r="B186" s="8" t="inlineStr"/>
      <c r="C186" s="17" t="inlineStr"/>
      <c r="D186" s="6" t="n"/>
      <c r="E186" s="6" t="n"/>
      <c r="F186" s="6" t="n"/>
      <c r="G186" s="6" t="n"/>
    </row>
    <row r="187" ht="26" customHeight="1">
      <c r="A187" s="7" t="inlineStr"/>
      <c r="B187" s="8" t="inlineStr"/>
      <c r="C187" s="17" t="inlineStr"/>
      <c r="D187" s="6" t="n"/>
      <c r="E187" s="6" t="n"/>
      <c r="F187" s="6" t="n"/>
      <c r="G187" s="6" t="n"/>
    </row>
    <row r="188" ht="26" customHeight="1">
      <c r="A188" s="7" t="inlineStr"/>
      <c r="B188" s="8" t="inlineStr"/>
      <c r="C188" s="17" t="inlineStr"/>
      <c r="D188" s="6" t="n"/>
      <c r="E188" s="6" t="n"/>
      <c r="F188" s="6" t="n"/>
      <c r="G188" s="6" t="n"/>
    </row>
    <row r="189" ht="26" customHeight="1">
      <c r="A189" s="7" t="inlineStr"/>
      <c r="B189" s="8" t="inlineStr"/>
      <c r="C189" s="17" t="inlineStr"/>
      <c r="D189" s="6" t="n"/>
      <c r="E189" s="6" t="n"/>
      <c r="F189" s="6" t="n"/>
      <c r="G189" s="6" t="n"/>
    </row>
    <row r="190" ht="26" customHeight="1">
      <c r="A190" s="7" t="inlineStr"/>
      <c r="B190" s="8" t="inlineStr"/>
      <c r="C190" s="17" t="inlineStr"/>
      <c r="D190" s="6" t="n"/>
      <c r="E190" s="6" t="n"/>
      <c r="F190" s="6" t="n"/>
      <c r="G190" s="6" t="n"/>
    </row>
    <row r="191" ht="26" customHeight="1">
      <c r="A191" s="7" t="inlineStr"/>
      <c r="B191" s="8" t="inlineStr"/>
      <c r="C191" s="17" t="inlineStr"/>
      <c r="D191" s="6" t="n"/>
      <c r="E191" s="6" t="n"/>
      <c r="F191" s="6" t="n"/>
      <c r="G191" s="6" t="n"/>
    </row>
    <row r="192" ht="26" customHeight="1">
      <c r="A192" s="7" t="inlineStr"/>
      <c r="B192" s="8" t="inlineStr"/>
      <c r="C192" s="17" t="inlineStr"/>
      <c r="D192" s="6" t="n"/>
      <c r="E192" s="6" t="n"/>
      <c r="F192" s="6" t="n"/>
      <c r="G192" s="6" t="n"/>
    </row>
    <row r="193" ht="26" customHeight="1">
      <c r="A193" s="7" t="inlineStr"/>
      <c r="B193" s="8" t="inlineStr"/>
      <c r="C193" s="17" t="inlineStr"/>
      <c r="D193" s="6" t="n"/>
      <c r="E193" s="6" t="n"/>
      <c r="F193" s="6" t="n"/>
      <c r="G193" s="6" t="n"/>
    </row>
    <row r="194" ht="26" customHeight="1">
      <c r="A194" s="7" t="inlineStr"/>
      <c r="B194" s="8" t="inlineStr"/>
      <c r="C194" s="17" t="inlineStr"/>
      <c r="D194" s="6" t="n"/>
      <c r="E194" s="6" t="n"/>
      <c r="F194" s="6" t="n"/>
      <c r="G194" s="6" t="n"/>
    </row>
    <row r="195" ht="26" customHeight="1">
      <c r="A195" s="7" t="inlineStr"/>
      <c r="B195" s="8" t="inlineStr"/>
      <c r="C195" s="17" t="inlineStr"/>
      <c r="D195" s="6" t="n"/>
      <c r="E195" s="6" t="n"/>
      <c r="F195" s="6" t="n"/>
      <c r="G195" s="6" t="n"/>
    </row>
    <row r="196" ht="26" customHeight="1">
      <c r="A196" s="7" t="inlineStr"/>
      <c r="B196" s="8" t="inlineStr"/>
      <c r="C196" s="17" t="inlineStr"/>
      <c r="D196" s="6" t="n"/>
      <c r="E196" s="6" t="n"/>
      <c r="F196" s="6" t="n"/>
      <c r="G196" s="6" t="n"/>
    </row>
    <row r="197" ht="26" customHeight="1">
      <c r="A197" s="7" t="inlineStr"/>
      <c r="B197" s="8" t="inlineStr"/>
      <c r="C197" s="17" t="inlineStr"/>
      <c r="D197" s="6" t="n"/>
      <c r="E197" s="6" t="n"/>
      <c r="F197" s="6" t="n"/>
      <c r="G197" s="6" t="n"/>
    </row>
    <row r="198" ht="26" customHeight="1">
      <c r="A198" s="7" t="inlineStr"/>
      <c r="B198" s="8" t="inlineStr"/>
      <c r="C198" s="17" t="inlineStr"/>
      <c r="D198" s="6" t="n"/>
      <c r="E198" s="6" t="n"/>
      <c r="F198" s="6" t="n"/>
      <c r="G198" s="6" t="n"/>
    </row>
    <row r="199" ht="26" customHeight="1">
      <c r="A199" s="7" t="inlineStr"/>
      <c r="B199" s="8" t="inlineStr"/>
      <c r="C199" s="17" t="inlineStr"/>
      <c r="D199" s="6" t="n"/>
      <c r="E199" s="6" t="n"/>
      <c r="F199" s="6" t="n"/>
      <c r="G199" s="6" t="n"/>
    </row>
    <row r="200" ht="26" customHeight="1">
      <c r="A200" s="7" t="inlineStr"/>
      <c r="B200" s="8" t="inlineStr"/>
      <c r="C200" s="17" t="inlineStr"/>
      <c r="D200" s="6" t="n"/>
      <c r="E200" s="6" t="n"/>
      <c r="F200" s="6" t="n"/>
      <c r="G200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1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 ht="26" customHeight="1">
      <c r="A1" s="10" t="inlineStr">
        <is>
          <t>Kapittel</t>
        </is>
      </c>
      <c r="B1" s="10" t="inlineStr">
        <is>
          <t>Tittel</t>
        </is>
      </c>
      <c r="C1" s="10" t="inlineStr">
        <is>
          <t>Plan start</t>
        </is>
      </c>
      <c r="D1" s="10" t="inlineStr">
        <is>
          <t>Plan frist</t>
        </is>
      </c>
      <c r="E1" s="10" t="inlineStr">
        <is>
          <t>Feb 2026</t>
        </is>
      </c>
      <c r="F1" s="10" t="inlineStr">
        <is>
          <t>Mar 2026</t>
        </is>
      </c>
      <c r="G1" s="10" t="inlineStr">
        <is>
          <t>Apr 2026</t>
        </is>
      </c>
      <c r="H1" s="10" t="inlineStr">
        <is>
          <t>May 2026</t>
        </is>
      </c>
      <c r="I1" s="10" t="inlineStr">
        <is>
          <t>Jun 2026</t>
        </is>
      </c>
      <c r="J1" s="10" t="inlineStr">
        <is>
          <t>Jul 2026</t>
        </is>
      </c>
      <c r="K1" s="10" t="inlineStr">
        <is>
          <t>Aug 2026</t>
        </is>
      </c>
      <c r="L1" s="10" t="inlineStr">
        <is>
          <t>Sep 2026</t>
        </is>
      </c>
      <c r="M1" s="10" t="inlineStr">
        <is>
          <t>Oct 2026</t>
        </is>
      </c>
      <c r="N1" s="10" t="inlineStr">
        <is>
          <t>Nov 2026</t>
        </is>
      </c>
      <c r="O1" s="10" t="inlineStr">
        <is>
          <t>Dec 2026</t>
        </is>
      </c>
      <c r="P1" s="10" t="inlineStr">
        <is>
          <t>Jan 2027</t>
        </is>
      </c>
      <c r="Q1" s="10" t="inlineStr">
        <is>
          <t>Feb 2027</t>
        </is>
      </c>
      <c r="R1" s="10" t="inlineStr">
        <is>
          <t>Mar 2027</t>
        </is>
      </c>
      <c r="S1" s="10" t="inlineStr">
        <is>
          <t>Apr 2027</t>
        </is>
      </c>
      <c r="T1" s="10" t="inlineStr">
        <is>
          <t>May 2027</t>
        </is>
      </c>
      <c r="U1" s="10" t="inlineStr">
        <is>
          <t>Jun 2027</t>
        </is>
      </c>
      <c r="V1" s="10" t="inlineStr">
        <is>
          <t>Jul 2027</t>
        </is>
      </c>
    </row>
    <row r="2">
      <c r="A2">
        <f>Kapitler!A2</f>
        <v/>
      </c>
      <c r="B2">
        <f>Kapitler!B2</f>
        <v/>
      </c>
      <c r="C2" s="11">
        <f>Kapitler!D2</f>
        <v/>
      </c>
      <c r="D2" s="11">
        <f>Kapitler!E2</f>
        <v/>
      </c>
    </row>
    <row r="3">
      <c r="A3">
        <f>Kapitler!A3</f>
        <v/>
      </c>
      <c r="B3">
        <f>Kapitler!B3</f>
        <v/>
      </c>
      <c r="C3" s="11">
        <f>Kapitler!D3</f>
        <v/>
      </c>
      <c r="D3" s="11">
        <f>Kapitler!E3</f>
        <v/>
      </c>
    </row>
    <row r="4">
      <c r="A4">
        <f>Kapitler!A4</f>
        <v/>
      </c>
      <c r="B4">
        <f>Kapitler!B4</f>
        <v/>
      </c>
      <c r="C4" s="11">
        <f>Kapitler!D4</f>
        <v/>
      </c>
      <c r="D4" s="11">
        <f>Kapitler!E4</f>
        <v/>
      </c>
    </row>
    <row r="5">
      <c r="A5">
        <f>Kapitler!A5</f>
        <v/>
      </c>
      <c r="B5">
        <f>Kapitler!B5</f>
        <v/>
      </c>
      <c r="C5" s="11">
        <f>Kapitler!D5</f>
        <v/>
      </c>
      <c r="D5" s="11">
        <f>Kapitler!E5</f>
        <v/>
      </c>
    </row>
    <row r="6">
      <c r="A6">
        <f>Kapitler!A6</f>
        <v/>
      </c>
      <c r="B6">
        <f>Kapitler!B6</f>
        <v/>
      </c>
      <c r="C6" s="11">
        <f>Kapitler!D6</f>
        <v/>
      </c>
      <c r="D6" s="11">
        <f>Kapitler!E6</f>
        <v/>
      </c>
    </row>
    <row r="7">
      <c r="A7">
        <f>Kapitler!A7</f>
        <v/>
      </c>
      <c r="B7">
        <f>Kapitler!B7</f>
        <v/>
      </c>
      <c r="C7" s="11">
        <f>Kapitler!D7</f>
        <v/>
      </c>
      <c r="D7" s="11">
        <f>Kapitler!E7</f>
        <v/>
      </c>
    </row>
    <row r="8">
      <c r="A8">
        <f>Kapitler!A8</f>
        <v/>
      </c>
      <c r="B8">
        <f>Kapitler!B8</f>
        <v/>
      </c>
      <c r="C8" s="11">
        <f>Kapitler!D8</f>
        <v/>
      </c>
      <c r="D8" s="11">
        <f>Kapitler!E8</f>
        <v/>
      </c>
    </row>
    <row r="9">
      <c r="A9">
        <f>Kapitler!A9</f>
        <v/>
      </c>
      <c r="B9">
        <f>Kapitler!B9</f>
        <v/>
      </c>
      <c r="C9" s="11">
        <f>Kapitler!D9</f>
        <v/>
      </c>
      <c r="D9" s="11">
        <f>Kapitler!E9</f>
        <v/>
      </c>
    </row>
    <row r="10">
      <c r="A10">
        <f>Kapitler!A10</f>
        <v/>
      </c>
      <c r="B10">
        <f>Kapitler!B10</f>
        <v/>
      </c>
      <c r="C10" s="11">
        <f>Kapitler!D10</f>
        <v/>
      </c>
      <c r="D10" s="11">
        <f>Kapitler!E10</f>
        <v/>
      </c>
    </row>
    <row r="11">
      <c r="A11">
        <f>Kapitler!A11</f>
        <v/>
      </c>
      <c r="B11">
        <f>Kapitler!B11</f>
        <v/>
      </c>
      <c r="C11" s="11">
        <f>Kapitler!D11</f>
        <v/>
      </c>
      <c r="D11" s="11">
        <f>Kapitler!E11</f>
        <v/>
      </c>
    </row>
    <row r="12">
      <c r="A12">
        <f>Kapitler!A12</f>
        <v/>
      </c>
      <c r="B12">
        <f>Kapitler!B12</f>
        <v/>
      </c>
      <c r="C12" s="11">
        <f>Kapitler!D12</f>
        <v/>
      </c>
      <c r="D12" s="11">
        <f>Kapitler!E12</f>
        <v/>
      </c>
    </row>
    <row r="13">
      <c r="A13">
        <f>Kapitler!A13</f>
        <v/>
      </c>
      <c r="B13">
        <f>Kapitler!B13</f>
        <v/>
      </c>
      <c r="C13" s="11">
        <f>Kapitler!D13</f>
        <v/>
      </c>
      <c r="D13" s="11">
        <f>Kapitler!E13</f>
        <v/>
      </c>
    </row>
    <row r="14">
      <c r="A14">
        <f>Kapitler!A14</f>
        <v/>
      </c>
      <c r="B14">
        <f>Kapitler!B14</f>
        <v/>
      </c>
      <c r="C14" s="11">
        <f>Kapitler!D14</f>
        <v/>
      </c>
      <c r="D14" s="11">
        <f>Kapitler!E14</f>
        <v/>
      </c>
    </row>
    <row r="15">
      <c r="A15">
        <f>Kapitler!A15</f>
        <v/>
      </c>
      <c r="B15">
        <f>Kapitler!B15</f>
        <v/>
      </c>
      <c r="C15" s="11">
        <f>Kapitler!D15</f>
        <v/>
      </c>
      <c r="D15" s="11">
        <f>Kapitler!E15</f>
        <v/>
      </c>
    </row>
    <row r="16">
      <c r="A16">
        <f>Kapitler!A16</f>
        <v/>
      </c>
      <c r="B16">
        <f>Kapitler!B16</f>
        <v/>
      </c>
      <c r="C16" s="11">
        <f>Kapitler!D16</f>
        <v/>
      </c>
      <c r="D16" s="11">
        <f>Kapitler!E16</f>
        <v/>
      </c>
    </row>
    <row r="17">
      <c r="A17">
        <f>Kapitler!A17</f>
        <v/>
      </c>
      <c r="B17">
        <f>Kapitler!B17</f>
        <v/>
      </c>
      <c r="C17" s="11">
        <f>Kapitler!D17</f>
        <v/>
      </c>
      <c r="D17" s="11">
        <f>Kapitler!E17</f>
        <v/>
      </c>
    </row>
    <row r="18">
      <c r="A18">
        <f>Kapitler!A18</f>
        <v/>
      </c>
      <c r="B18">
        <f>Kapitler!B18</f>
        <v/>
      </c>
      <c r="C18" s="11">
        <f>Kapitler!D18</f>
        <v/>
      </c>
      <c r="D18" s="11">
        <f>Kapitler!E18</f>
        <v/>
      </c>
    </row>
    <row r="19">
      <c r="A19">
        <f>Kapitler!A19</f>
        <v/>
      </c>
      <c r="B19">
        <f>Kapitler!B19</f>
        <v/>
      </c>
      <c r="C19" s="11">
        <f>Kapitler!D19</f>
        <v/>
      </c>
      <c r="D19" s="11">
        <f>Kapitler!E19</f>
        <v/>
      </c>
    </row>
    <row r="20">
      <c r="A20">
        <f>Kapitler!A20</f>
        <v/>
      </c>
      <c r="B20">
        <f>Kapitler!B20</f>
        <v/>
      </c>
      <c r="C20" s="11">
        <f>Kapitler!D20</f>
        <v/>
      </c>
      <c r="D20" s="11">
        <f>Kapitler!E20</f>
        <v/>
      </c>
    </row>
    <row r="21">
      <c r="A21">
        <f>Kapitler!A21</f>
        <v/>
      </c>
      <c r="B21">
        <f>Kapitler!B21</f>
        <v/>
      </c>
      <c r="C21" s="11">
        <f>Kapitler!D21</f>
        <v/>
      </c>
      <c r="D21" s="11">
        <f>Kapitler!E21</f>
        <v/>
      </c>
    </row>
    <row r="22">
      <c r="A22">
        <f>Kapitler!A22</f>
        <v/>
      </c>
      <c r="B22">
        <f>Kapitler!B22</f>
        <v/>
      </c>
      <c r="C22" s="11">
        <f>Kapitler!D22</f>
        <v/>
      </c>
      <c r="D22" s="11">
        <f>Kapitler!E22</f>
        <v/>
      </c>
    </row>
    <row r="23">
      <c r="A23">
        <f>Kapitler!A23</f>
        <v/>
      </c>
      <c r="B23">
        <f>Kapitler!B23</f>
        <v/>
      </c>
      <c r="C23" s="11">
        <f>Kapitler!D23</f>
        <v/>
      </c>
      <c r="D23" s="11">
        <f>Kapitler!E23</f>
        <v/>
      </c>
    </row>
    <row r="24">
      <c r="A24">
        <f>Kapitler!A24</f>
        <v/>
      </c>
      <c r="B24">
        <f>Kapitler!B24</f>
        <v/>
      </c>
      <c r="C24" s="11">
        <f>Kapitler!D24</f>
        <v/>
      </c>
      <c r="D24" s="11">
        <f>Kapitler!E24</f>
        <v/>
      </c>
    </row>
    <row r="25">
      <c r="A25">
        <f>Kapitler!A25</f>
        <v/>
      </c>
      <c r="B25">
        <f>Kapitler!B25</f>
        <v/>
      </c>
      <c r="C25" s="11">
        <f>Kapitler!D25</f>
        <v/>
      </c>
      <c r="D25" s="11">
        <f>Kapitler!E25</f>
        <v/>
      </c>
    </row>
    <row r="26">
      <c r="A26">
        <f>Kapitler!A26</f>
        <v/>
      </c>
      <c r="B26">
        <f>Kapitler!B26</f>
        <v/>
      </c>
      <c r="C26" s="11">
        <f>Kapitler!D26</f>
        <v/>
      </c>
      <c r="D26" s="11">
        <f>Kapitler!E26</f>
        <v/>
      </c>
    </row>
    <row r="27">
      <c r="A27">
        <f>Kapitler!A27</f>
        <v/>
      </c>
      <c r="B27">
        <f>Kapitler!B27</f>
        <v/>
      </c>
      <c r="C27" s="11">
        <f>Kapitler!D27</f>
        <v/>
      </c>
      <c r="D27" s="11">
        <f>Kapitler!E27</f>
        <v/>
      </c>
    </row>
    <row r="28">
      <c r="A28">
        <f>Kapitler!A28</f>
        <v/>
      </c>
      <c r="B28">
        <f>Kapitler!B28</f>
        <v/>
      </c>
      <c r="C28" s="11">
        <f>Kapitler!D28</f>
        <v/>
      </c>
      <c r="D28" s="11">
        <f>Kapitler!E28</f>
        <v/>
      </c>
    </row>
    <row r="29">
      <c r="A29">
        <f>Kapitler!A29</f>
        <v/>
      </c>
      <c r="B29">
        <f>Kapitler!B29</f>
        <v/>
      </c>
      <c r="C29" s="11">
        <f>Kapitler!D29</f>
        <v/>
      </c>
      <c r="D29" s="11">
        <f>Kapitler!E29</f>
        <v/>
      </c>
    </row>
    <row r="30">
      <c r="A30">
        <f>Kapitler!A30</f>
        <v/>
      </c>
      <c r="B30">
        <f>Kapitler!B30</f>
        <v/>
      </c>
      <c r="C30" s="11">
        <f>Kapitler!D30</f>
        <v/>
      </c>
      <c r="D30" s="11">
        <f>Kapitler!E30</f>
        <v/>
      </c>
    </row>
    <row r="31">
      <c r="A31">
        <f>Kapitler!A31</f>
        <v/>
      </c>
      <c r="B31">
        <f>Kapitler!B31</f>
        <v/>
      </c>
      <c r="C31" s="11">
        <f>Kapitler!D31</f>
        <v/>
      </c>
      <c r="D31" s="11">
        <f>Kapitler!E31</f>
        <v/>
      </c>
    </row>
    <row r="32">
      <c r="A32">
        <f>Kapitler!A32</f>
        <v/>
      </c>
      <c r="B32">
        <f>Kapitler!B32</f>
        <v/>
      </c>
      <c r="C32" s="11">
        <f>Kapitler!D32</f>
        <v/>
      </c>
      <c r="D32" s="11">
        <f>Kapitler!E32</f>
        <v/>
      </c>
    </row>
    <row r="33">
      <c r="A33">
        <f>Kapitler!A33</f>
        <v/>
      </c>
      <c r="B33">
        <f>Kapitler!B33</f>
        <v/>
      </c>
      <c r="C33" s="11">
        <f>Kapitler!D33</f>
        <v/>
      </c>
      <c r="D33" s="11">
        <f>Kapitler!E33</f>
        <v/>
      </c>
    </row>
    <row r="34">
      <c r="A34">
        <f>Kapitler!A34</f>
        <v/>
      </c>
      <c r="B34">
        <f>Kapitler!B34</f>
        <v/>
      </c>
      <c r="C34" s="11">
        <f>Kapitler!D34</f>
        <v/>
      </c>
      <c r="D34" s="11">
        <f>Kapitler!E34</f>
        <v/>
      </c>
    </row>
    <row r="35">
      <c r="A35">
        <f>Kapitler!A35</f>
        <v/>
      </c>
      <c r="B35">
        <f>Kapitler!B35</f>
        <v/>
      </c>
      <c r="C35" s="11">
        <f>Kapitler!D35</f>
        <v/>
      </c>
      <c r="D35" s="11">
        <f>Kapitler!E35</f>
        <v/>
      </c>
    </row>
    <row r="36">
      <c r="A36">
        <f>Kapitler!A36</f>
        <v/>
      </c>
      <c r="B36">
        <f>Kapitler!B36</f>
        <v/>
      </c>
      <c r="C36" s="11">
        <f>Kapitler!D36</f>
        <v/>
      </c>
      <c r="D36" s="11">
        <f>Kapitler!E36</f>
        <v/>
      </c>
    </row>
    <row r="37">
      <c r="A37">
        <f>Kapitler!A37</f>
        <v/>
      </c>
      <c r="B37">
        <f>Kapitler!B37</f>
        <v/>
      </c>
      <c r="C37" s="11">
        <f>Kapitler!D37</f>
        <v/>
      </c>
      <c r="D37" s="11">
        <f>Kapitler!E37</f>
        <v/>
      </c>
    </row>
    <row r="38">
      <c r="A38">
        <f>Kapitler!A38</f>
        <v/>
      </c>
      <c r="B38">
        <f>Kapitler!B38</f>
        <v/>
      </c>
      <c r="C38" s="11">
        <f>Kapitler!D38</f>
        <v/>
      </c>
      <c r="D38" s="11">
        <f>Kapitler!E38</f>
        <v/>
      </c>
    </row>
    <row r="39">
      <c r="A39">
        <f>Kapitler!A39</f>
        <v/>
      </c>
      <c r="B39">
        <f>Kapitler!B39</f>
        <v/>
      </c>
      <c r="C39" s="11">
        <f>Kapitler!D39</f>
        <v/>
      </c>
      <c r="D39" s="11">
        <f>Kapitler!E39</f>
        <v/>
      </c>
    </row>
    <row r="40">
      <c r="A40">
        <f>Kapitler!A40</f>
        <v/>
      </c>
      <c r="B40">
        <f>Kapitler!B40</f>
        <v/>
      </c>
      <c r="C40" s="11">
        <f>Kapitler!D40</f>
        <v/>
      </c>
      <c r="D40" s="11">
        <f>Kapitler!E40</f>
        <v/>
      </c>
    </row>
    <row r="41">
      <c r="A41">
        <f>Kapitler!A41</f>
        <v/>
      </c>
      <c r="B41">
        <f>Kapitler!B41</f>
        <v/>
      </c>
      <c r="C41" s="11">
        <f>Kapitler!D41</f>
        <v/>
      </c>
      <c r="D41" s="11">
        <f>Kapitler!E41</f>
        <v/>
      </c>
    </row>
    <row r="42">
      <c r="A42">
        <f>Kapitler!A42</f>
        <v/>
      </c>
      <c r="B42">
        <f>Kapitler!B42</f>
        <v/>
      </c>
      <c r="C42" s="11">
        <f>Kapitler!D42</f>
        <v/>
      </c>
      <c r="D42" s="11">
        <f>Kapitler!E42</f>
        <v/>
      </c>
    </row>
    <row r="43">
      <c r="A43">
        <f>Kapitler!A43</f>
        <v/>
      </c>
      <c r="B43">
        <f>Kapitler!B43</f>
        <v/>
      </c>
      <c r="C43" s="11">
        <f>Kapitler!D43</f>
        <v/>
      </c>
      <c r="D43" s="11">
        <f>Kapitler!E43</f>
        <v/>
      </c>
    </row>
    <row r="44">
      <c r="A44">
        <f>Kapitler!A44</f>
        <v/>
      </c>
      <c r="B44">
        <f>Kapitler!B44</f>
        <v/>
      </c>
      <c r="C44" s="11">
        <f>Kapitler!D44</f>
        <v/>
      </c>
      <c r="D44" s="11">
        <f>Kapitler!E44</f>
        <v/>
      </c>
    </row>
    <row r="45">
      <c r="A45">
        <f>Kapitler!A45</f>
        <v/>
      </c>
      <c r="B45">
        <f>Kapitler!B45</f>
        <v/>
      </c>
      <c r="C45" s="11">
        <f>Kapitler!D45</f>
        <v/>
      </c>
      <c r="D45" s="11">
        <f>Kapitler!E45</f>
        <v/>
      </c>
    </row>
    <row r="46">
      <c r="A46">
        <f>Kapitler!A46</f>
        <v/>
      </c>
      <c r="B46">
        <f>Kapitler!B46</f>
        <v/>
      </c>
      <c r="C46" s="11">
        <f>Kapitler!D46</f>
        <v/>
      </c>
      <c r="D46" s="11">
        <f>Kapitler!E46</f>
        <v/>
      </c>
    </row>
    <row r="47">
      <c r="A47">
        <f>Kapitler!A47</f>
        <v/>
      </c>
      <c r="B47">
        <f>Kapitler!B47</f>
        <v/>
      </c>
      <c r="C47" s="11">
        <f>Kapitler!D47</f>
        <v/>
      </c>
      <c r="D47" s="11">
        <f>Kapitler!E47</f>
        <v/>
      </c>
    </row>
    <row r="48">
      <c r="A48">
        <f>Kapitler!A48</f>
        <v/>
      </c>
      <c r="B48">
        <f>Kapitler!B48</f>
        <v/>
      </c>
      <c r="C48" s="11">
        <f>Kapitler!D48</f>
        <v/>
      </c>
      <c r="D48" s="11">
        <f>Kapitler!E48</f>
        <v/>
      </c>
    </row>
    <row r="49">
      <c r="A49">
        <f>Kapitler!A49</f>
        <v/>
      </c>
      <c r="B49">
        <f>Kapitler!B49</f>
        <v/>
      </c>
      <c r="C49" s="11">
        <f>Kapitler!D49</f>
        <v/>
      </c>
      <c r="D49" s="11">
        <f>Kapitler!E49</f>
        <v/>
      </c>
    </row>
    <row r="50">
      <c r="A50">
        <f>Kapitler!A50</f>
        <v/>
      </c>
      <c r="B50">
        <f>Kapitler!B50</f>
        <v/>
      </c>
      <c r="C50" s="11">
        <f>Kapitler!D50</f>
        <v/>
      </c>
      <c r="D50" s="11">
        <f>Kapitler!E50</f>
        <v/>
      </c>
    </row>
    <row r="51" hidden="1">
      <c r="E51" s="11" t="n">
        <v>46054</v>
      </c>
      <c r="F51" s="11" t="n">
        <v>46082</v>
      </c>
      <c r="G51" s="11" t="n">
        <v>46113</v>
      </c>
      <c r="H51" s="11" t="n">
        <v>46143</v>
      </c>
      <c r="I51" s="11" t="n">
        <v>46174</v>
      </c>
      <c r="J51" s="11" t="n">
        <v>46204</v>
      </c>
      <c r="K51" s="11" t="n">
        <v>46235</v>
      </c>
      <c r="L51" s="11" t="n">
        <v>46266</v>
      </c>
      <c r="M51" s="11" t="n">
        <v>46296</v>
      </c>
      <c r="N51" s="11" t="n">
        <v>46327</v>
      </c>
      <c r="O51" s="11" t="n">
        <v>46357</v>
      </c>
      <c r="P51" s="11" t="n">
        <v>46388</v>
      </c>
      <c r="Q51" s="11" t="n">
        <v>46419</v>
      </c>
      <c r="R51" s="11" t="n">
        <v>46447</v>
      </c>
      <c r="S51" s="11" t="n">
        <v>46478</v>
      </c>
      <c r="T51" s="11" t="n">
        <v>46508</v>
      </c>
      <c r="U51" s="11" t="n">
        <v>46539</v>
      </c>
      <c r="V51" s="11" t="n">
        <v>46569</v>
      </c>
    </row>
  </sheetData>
  <conditionalFormatting sqref="E2:V50">
    <cfRule type="expression" priority="1" dxfId="3">
      <formula>=AND($C2&lt;&gt;"",$D2&lt;&gt;"",E$51&lt;=$D2,EOMONTH(E$51,0)&gt;=$C2)</formula>
    </cfRule>
  </conditionalFormatting>
  <conditionalFormatting sqref="E1:V1">
    <cfRule type="expression" priority="2" dxfId="4">
      <formula>=E$51=DATE(YEAR(TODAY()),MONTH(TODAY()),1)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2026-02-27T09:02:25Z</dcterms:created>
  <dcterms:modified xmlns:dcterms="http://purl.org/dc/terms/" xmlns:xsi="http://www.w3.org/2001/XMLSchema-instance" xsi:type="dcterms:W3CDTF">2026-02-27T09:07:02Z</dcterms:modified>
</cp:coreProperties>
</file>